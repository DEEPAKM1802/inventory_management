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Downloads\Data Analytics\Projects\"/>
    </mc:Choice>
  </mc:AlternateContent>
  <xr:revisionPtr revIDLastSave="0" documentId="13_ncr:1_{8D99B463-B3BE-43D0-B588-A4F9F2B863B7}" xr6:coauthVersionLast="47" xr6:coauthVersionMax="47" xr10:uidLastSave="{00000000-0000-0000-0000-000000000000}"/>
  <bookViews>
    <workbookView xWindow="-120" yWindow="-120" windowWidth="20730" windowHeight="11040" activeTab="3" xr2:uid="{3F333F2F-5022-4972-9D19-9D489F0C62F5}"/>
  </bookViews>
  <sheets>
    <sheet name="OAL FORM" sheetId="1" r:id="rId1"/>
    <sheet name="RECORD" sheetId="3" r:id="rId2"/>
    <sheet name="Logs" sheetId="4" r:id="rId3"/>
    <sheet name="CAL" sheetId="2" r:id="rId4"/>
  </sheets>
  <calcPr calcId="181029"/>
  <pivotCaches>
    <pivotCache cacheId="4" r:id="rId5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1" i="1" l="1"/>
  <c r="F13" i="1" s="1"/>
  <c r="H9" i="1"/>
  <c r="D11" i="1"/>
  <c r="D13" i="1" s="1"/>
  <c r="G9" i="2" s="1"/>
  <c r="E14" i="2"/>
  <c r="E15" i="2"/>
  <c r="E16" i="2"/>
  <c r="E17" i="2"/>
  <c r="E18" i="2"/>
  <c r="E19" i="2"/>
  <c r="L9" i="2"/>
  <c r="J9" i="2"/>
  <c r="E9" i="2"/>
  <c r="D9" i="2"/>
  <c r="C9" i="2"/>
  <c r="B9" i="2"/>
  <c r="A9" i="2"/>
  <c r="H7" i="1"/>
  <c r="D7" i="1"/>
  <c r="F28" i="4"/>
  <c r="F21" i="4"/>
  <c r="F25" i="4"/>
  <c r="F27" i="4"/>
  <c r="F29" i="4"/>
  <c r="F30" i="4"/>
  <c r="F37" i="4"/>
  <c r="F40" i="4"/>
  <c r="F24" i="4"/>
  <c r="F33" i="4"/>
  <c r="F26" i="4"/>
  <c r="F36" i="4"/>
  <c r="F22" i="4"/>
  <c r="F38" i="4"/>
  <c r="F32" i="4"/>
  <c r="F23" i="4"/>
  <c r="F41" i="4"/>
  <c r="F34" i="4"/>
  <c r="F39" i="4"/>
  <c r="F42" i="4"/>
  <c r="F31" i="4"/>
  <c r="F35" i="4"/>
  <c r="K9" i="2" l="1"/>
  <c r="M9" i="2"/>
  <c r="H9" i="2"/>
  <c r="I9" i="2"/>
  <c r="F15" i="1"/>
  <c r="F9" i="2"/>
</calcChain>
</file>

<file path=xl/sharedStrings.xml><?xml version="1.0" encoding="utf-8"?>
<sst xmlns="http://schemas.openxmlformats.org/spreadsheetml/2006/main" count="931" uniqueCount="452">
  <si>
    <t>Model</t>
  </si>
  <si>
    <t>Moss V1</t>
  </si>
  <si>
    <t>Moss V2</t>
  </si>
  <si>
    <t>1008i</t>
  </si>
  <si>
    <t>Start Date</t>
  </si>
  <si>
    <t>End Date</t>
  </si>
  <si>
    <t>108n</t>
  </si>
  <si>
    <t>108nn</t>
  </si>
  <si>
    <t>Slit</t>
  </si>
  <si>
    <t>Grating</t>
  </si>
  <si>
    <t>Bench No</t>
  </si>
  <si>
    <t>:</t>
  </si>
  <si>
    <t xml:space="preserve">CCD   1  </t>
  </si>
  <si>
    <t xml:space="preserve">CCD   2  </t>
  </si>
  <si>
    <t>Spectrum Analyser</t>
  </si>
  <si>
    <t>DAQ</t>
  </si>
  <si>
    <t>CCID</t>
  </si>
  <si>
    <t>DAQ 1</t>
  </si>
  <si>
    <t>DAQ 2</t>
  </si>
  <si>
    <t>Slave Card</t>
  </si>
  <si>
    <t>Remark</t>
  </si>
  <si>
    <t>Alignment Engineer</t>
  </si>
  <si>
    <t>Sr No.</t>
  </si>
  <si>
    <t>CCD 1</t>
  </si>
  <si>
    <t>CCD 2</t>
  </si>
  <si>
    <t>SrNo</t>
  </si>
  <si>
    <t xml:space="preserve">        OAL FORM</t>
  </si>
  <si>
    <t>slit</t>
  </si>
  <si>
    <r>
      <t>5</t>
    </r>
    <r>
      <rPr>
        <sz val="11"/>
        <color theme="1"/>
        <rFont val="Calibri"/>
        <family val="2"/>
      </rPr>
      <t>µm</t>
    </r>
  </si>
  <si>
    <t>10µm</t>
  </si>
  <si>
    <r>
      <t>15</t>
    </r>
    <r>
      <rPr>
        <sz val="11"/>
        <color theme="1"/>
        <rFont val="Calibri"/>
        <family val="2"/>
      </rPr>
      <t>µm</t>
    </r>
  </si>
  <si>
    <t>20µm</t>
  </si>
  <si>
    <t>25µm</t>
  </si>
  <si>
    <t>7µm</t>
  </si>
  <si>
    <t>30µm</t>
  </si>
  <si>
    <t>Row Labels</t>
  </si>
  <si>
    <t>Grand Total</t>
  </si>
  <si>
    <t>Jan</t>
  </si>
  <si>
    <t>Column Labels</t>
  </si>
  <si>
    <t>Count of Model</t>
  </si>
  <si>
    <t>Customer Return</t>
  </si>
  <si>
    <t>, VSR &amp; Simulation</t>
  </si>
  <si>
    <t>, BEC</t>
  </si>
  <si>
    <t>, Uncoated CCD</t>
  </si>
  <si>
    <t>, Single Slit Mount</t>
  </si>
  <si>
    <t>, Arldite Used</t>
  </si>
  <si>
    <t>Sameer.L</t>
  </si>
  <si>
    <t>4812/0115-2067(1957)</t>
  </si>
  <si>
    <t>4812/0115-2068(1958)</t>
  </si>
  <si>
    <t>DAQ-797 v2.0,F/W-1.07</t>
  </si>
  <si>
    <t>DAQ-710 v2.0,F/W-1.07</t>
  </si>
  <si>
    <t>P128696,New Port</t>
  </si>
  <si>
    <t>, VSR &amp; Simulation, Uncoated CCD, Single Slit Mount, Arldite Used,Visible cap mod.</t>
  </si>
  <si>
    <t>4812/0115-2069(1959)</t>
  </si>
  <si>
    <t>4812/0115-2070(1960)</t>
  </si>
  <si>
    <t>DAQ-731 v2.0,F/W-1.07</t>
  </si>
  <si>
    <t>DAQ-715 v2.0,F/W-1.07</t>
  </si>
  <si>
    <t>P128785,New Port</t>
  </si>
  <si>
    <t>, VSR &amp; Simulation, Uncoated CCD, Single Slit Mount, Arldite Used,visible cap mod.</t>
  </si>
  <si>
    <t>4812/0115-2071(1961)</t>
  </si>
  <si>
    <t>4812/0115-2072(1962)</t>
  </si>
  <si>
    <t>DAQ-668 v2.0,F/W-1.07</t>
  </si>
  <si>
    <t>DAQ-718 v2.0,F/W-1.07</t>
  </si>
  <si>
    <t>P128823,New Port</t>
  </si>
  <si>
    <t>Sr No</t>
  </si>
  <si>
    <t>Component</t>
  </si>
  <si>
    <t>Component in each unit</t>
  </si>
  <si>
    <t xml:space="preserve"> Inventory</t>
  </si>
  <si>
    <t>Fresh purchase</t>
  </si>
  <si>
    <t>Rejected</t>
  </si>
  <si>
    <t>Connectors L shape</t>
  </si>
  <si>
    <t>O Ring 10mm</t>
  </si>
  <si>
    <t>O Ring 20mm</t>
  </si>
  <si>
    <t>O Ring 95mm</t>
  </si>
  <si>
    <t>8 Position Cable</t>
  </si>
  <si>
    <t>CCD Connector Card</t>
  </si>
  <si>
    <t>CCD MCCD Card</t>
  </si>
  <si>
    <t>Baffle</t>
  </si>
  <si>
    <t>Grating Mount</t>
  </si>
  <si>
    <t>Mirror Mount M1</t>
  </si>
  <si>
    <t>Mirror Mount M3</t>
  </si>
  <si>
    <t>CCD Mount</t>
  </si>
  <si>
    <t>Window Clamps</t>
  </si>
  <si>
    <t>Slit Mount</t>
  </si>
  <si>
    <t>Slit Ring</t>
  </si>
  <si>
    <t>Cap (Optical Componets mossv2)</t>
  </si>
  <si>
    <t>CCD Uncoated</t>
  </si>
  <si>
    <t>Slit 5 microns</t>
  </si>
  <si>
    <t>Window Lens moss</t>
  </si>
  <si>
    <t>Mirror M1 Concave Collimating</t>
  </si>
  <si>
    <t>Mirror M3 Concave focusing</t>
  </si>
  <si>
    <t>5µm</t>
  </si>
  <si>
    <t>Deepak.M</t>
  </si>
  <si>
    <t>4812/0115-2073(1963)</t>
  </si>
  <si>
    <t/>
  </si>
  <si>
    <t>SLAVE-200</t>
  </si>
  <si>
    <t>CCID-217</t>
  </si>
  <si>
    <t>New Port,New Port</t>
  </si>
  <si>
    <t>, VSR &amp; Simulation, BEC, Uncoated CCD,</t>
  </si>
  <si>
    <t>4812/0115-2074(1964)</t>
  </si>
  <si>
    <t>4812/0115-2075(1965)</t>
  </si>
  <si>
    <t>DAQ-704 v2.0,F/W-1.07</t>
  </si>
  <si>
    <t>DAQ-683 v2.0,F/W-1.07</t>
  </si>
  <si>
    <t>P128739,New Port</t>
  </si>
  <si>
    <t>4812/0115-2076(1966)</t>
  </si>
  <si>
    <t>4812/0115-2077(1967)</t>
  </si>
  <si>
    <t>DAQ-674 v2.0,F/W-1.07</t>
  </si>
  <si>
    <t>DAQ-707 v2.0,F/W-1.07</t>
  </si>
  <si>
    <t>P128821,New Port</t>
  </si>
  <si>
    <t>, VSR &amp; Simulation, Uncoated CCD, Single Slit Mount, Arldite Used</t>
  </si>
  <si>
    <t>4812/0115-2078(1968)</t>
  </si>
  <si>
    <t>4812/0115-2079(1969)</t>
  </si>
  <si>
    <t>DAQ-716 v2.0,F/W-1.07</t>
  </si>
  <si>
    <t>DAQ-682 v2.0,F/W-1.07</t>
  </si>
  <si>
    <t>P128736,New Port</t>
  </si>
  <si>
    <t>, VSR &amp; Simulation, Uncoated CCD, Single Slit Mount, Arldite Used,</t>
  </si>
  <si>
    <t>4812/0115-2080(1970)</t>
  </si>
  <si>
    <t>4812/0115-2081(1971)</t>
  </si>
  <si>
    <t>DAQ-724 v2.0,F/W-1.07</t>
  </si>
  <si>
    <t>DAQ-703 v2.0,F/W-1.07</t>
  </si>
  <si>
    <t>P128822,New Port</t>
  </si>
  <si>
    <t>, VSR &amp; Simulation, Uncoated CCD, Single Slit Mount, Arldite Used,VISIBLE CAP MOD</t>
  </si>
  <si>
    <t>4812/0115-2082(1972)</t>
  </si>
  <si>
    <t>DAQ-311v2.0,F/W-1.06</t>
  </si>
  <si>
    <t>DAQ-v2.0,F/W-1.06</t>
  </si>
  <si>
    <t>Customer Return, VSR &amp; Simulation, Uncoated CCD, Arldite Used,Realignment done with new component</t>
  </si>
  <si>
    <t>Vishal.B</t>
  </si>
  <si>
    <t>4812/0115-2083(1973)</t>
  </si>
  <si>
    <t>DAQ-319v2.0,F/W-1.06</t>
  </si>
  <si>
    <t>Customer Return, VSR &amp; Simulation, Uncoated CCD,Grating replaced(ssi)</t>
  </si>
  <si>
    <t>4812/0115-2084(1974)</t>
  </si>
  <si>
    <t>SLAVE-196</t>
  </si>
  <si>
    <t>CCID-243</t>
  </si>
  <si>
    <t xml:space="preserve"> VSR &amp; Simulation, BEC, Uncoated CCD, Arldite Used,</t>
  </si>
  <si>
    <t>4812/0115-2085(1975)</t>
  </si>
  <si>
    <t>SLAVE-194</t>
  </si>
  <si>
    <t>CCID-227</t>
  </si>
  <si>
    <t>, VSR &amp; Simulation, BEC, Uncoated CCD, Arldite Used,</t>
  </si>
  <si>
    <t>4812/0115-2086(1976)</t>
  </si>
  <si>
    <t>SLAVE-222</t>
  </si>
  <si>
    <t>CCID-215</t>
  </si>
  <si>
    <t>4812/0115-2087(1977)</t>
  </si>
  <si>
    <t>SLAVE-226</t>
  </si>
  <si>
    <t>CCID-219</t>
  </si>
  <si>
    <t>4812/0115-2088(1978)</t>
  </si>
  <si>
    <t>4812/0115-2089(1979)</t>
  </si>
  <si>
    <t>DAQ-675 v2.0,F/W-1.07</t>
  </si>
  <si>
    <t>DAQ-673 v2.0,F/W-1.07</t>
  </si>
  <si>
    <t>,New Port</t>
  </si>
  <si>
    <t>, VSR &amp; Simulation, BEC, Uncoated CCD, Single Slit Mount, Arldite Used,REALIGNMENT DONE(VISIBLE PPS)</t>
  </si>
  <si>
    <t>4812/0115-2090(1980)</t>
  </si>
  <si>
    <t>SLAVE-228</t>
  </si>
  <si>
    <t>CCID-241</t>
  </si>
  <si>
    <t>, VSR &amp; Simulation, BEC, Uncoated CCD, Single Slit Mount, Arldite Used,</t>
  </si>
  <si>
    <t>4812/0115-2091(1981)</t>
  </si>
  <si>
    <t>SLAVE-230</t>
  </si>
  <si>
    <t>CCID-224</t>
  </si>
  <si>
    <t>4812/0115-2092(1982)</t>
  </si>
  <si>
    <t>4812/0115-2093(1983)</t>
  </si>
  <si>
    <t>DAQ-736 v2.0,F/W-1.07</t>
  </si>
  <si>
    <t>DAQ-708 v2.0,F/W-1.07</t>
  </si>
  <si>
    <t>4812/0115-2094(1984)</t>
  </si>
  <si>
    <t>SLAVE-KHS</t>
  </si>
  <si>
    <t>CCID-</t>
  </si>
  <si>
    <t>Customer Return, Uncoated CCD,GRATING,SLIT, CCD REALIGENED</t>
  </si>
  <si>
    <t>4812/0115-2095(1985)</t>
  </si>
  <si>
    <t>DAQ-189v2.0,F/W-1.06</t>
  </si>
  <si>
    <t>Customer Return, VSR &amp; Simulation, Uncoated CCD,</t>
  </si>
  <si>
    <t>Feb</t>
  </si>
  <si>
    <t>4812/0115-2096(1986)</t>
  </si>
  <si>
    <t>4812/0115-2097(1987)</t>
  </si>
  <si>
    <t>DAQ-741 v2.0,F/W-1.07</t>
  </si>
  <si>
    <t>DAQ-713 v2.0,F/W-1.07</t>
  </si>
  <si>
    <t>P128734,New Port</t>
  </si>
  <si>
    <t>4812/0115-2098(1988)</t>
  </si>
  <si>
    <t>SLAVE-234</t>
  </si>
  <si>
    <t>CCID-226</t>
  </si>
  <si>
    <t>4812/0115-2099(1989)</t>
  </si>
  <si>
    <t>SLAVE-227</t>
  </si>
  <si>
    <t>CCID-223</t>
  </si>
  <si>
    <t>4812/0115-2100(1990)</t>
  </si>
  <si>
    <t>SLAVE-223</t>
  </si>
  <si>
    <t>CCID-233</t>
  </si>
  <si>
    <t>4812/0115-2101(1991)</t>
  </si>
  <si>
    <t>CCID-238</t>
  </si>
  <si>
    <t>4812/0115-2102(1992)</t>
  </si>
  <si>
    <t>4812/0115-2103(1993)</t>
  </si>
  <si>
    <t>DAQ- v2.0,F/W-1.07</t>
  </si>
  <si>
    <t>P128694,New Port</t>
  </si>
  <si>
    <t>, VSR &amp; Simulation, BEC, Uncoated CCD, Single Slit Mount, Arldite Used,COPS,Visible cap modification</t>
  </si>
  <si>
    <t>, VSR &amp; Simulation, BEC, Uncoated CCD, Single Slit Mount, Arldite Used,visble cap mod, COPS</t>
  </si>
  <si>
    <t>, VSR &amp; Simulation, Uncoated CCD, Single Slit Mount, Arldite Used,visible cap mod,COPS</t>
  </si>
  <si>
    <t>4812/0115-2104(1994)</t>
  </si>
  <si>
    <t>DAQ-400v2.0,F/W-1.06</t>
  </si>
  <si>
    <t>Customer Return, VSR &amp; Simulation, Uncoated CCD,GRATING,M3,SLIT</t>
  </si>
  <si>
    <t>Ajay.P</t>
  </si>
  <si>
    <t>4812/0115-2105(1995)</t>
  </si>
  <si>
    <t>SLAVE-195</t>
  </si>
  <si>
    <t>CCID-263</t>
  </si>
  <si>
    <t>4812/0115-2106(1996)</t>
  </si>
  <si>
    <t>SLAVE-224</t>
  </si>
  <si>
    <t>CCID-257</t>
  </si>
  <si>
    <t>4812/0115-2107(1997)</t>
  </si>
  <si>
    <t>4812/0115-2108(1998)</t>
  </si>
  <si>
    <t>DAQ-728 v2.0,F/W-1.07</t>
  </si>
  <si>
    <t>DAQ-669 v2.0,F/W-1.07</t>
  </si>
  <si>
    <t>P128703,New Port</t>
  </si>
  <si>
    <t>, VSR &amp; Simulation, Uncoated CCD, Single Slit Mount, Arldite Used,Visible cap modification, COPS</t>
  </si>
  <si>
    <t>4812/0115-2109(1999)</t>
  </si>
  <si>
    <t>SLAVE-233</t>
  </si>
  <si>
    <t>CCID-235</t>
  </si>
  <si>
    <t>SLAVE-221</t>
  </si>
  <si>
    <t>CCID-255</t>
  </si>
  <si>
    <t>4812/0115-2110(2000)</t>
  </si>
  <si>
    <t>4812/0115-2111(2001)</t>
  </si>
  <si>
    <t>SLAVE-235</t>
  </si>
  <si>
    <t>CCID-260</t>
  </si>
  <si>
    <t>4812/0115-2112(2002)</t>
  </si>
  <si>
    <t>SLAVE-244</t>
  </si>
  <si>
    <t>CCID-254</t>
  </si>
  <si>
    <t>4812/0115-2113(2003)</t>
  </si>
  <si>
    <t>SLAVE-232</t>
  </si>
  <si>
    <t>CCID-259</t>
  </si>
  <si>
    <t>4812/0115-2114(2004)</t>
  </si>
  <si>
    <t>SLAVE-213</t>
  </si>
  <si>
    <t>CCID-240</t>
  </si>
  <si>
    <t>4812/0115-2115(2005)</t>
  </si>
  <si>
    <t>SLAVE-245</t>
  </si>
  <si>
    <t>CCID-236</t>
  </si>
  <si>
    <t>, VSR &amp; Simulation, BEC, Uncoated CCD, ALKAR MIRROR</t>
  </si>
  <si>
    <t>4812/0115-2116(2006)</t>
  </si>
  <si>
    <t>4812/0115-2117(2007)</t>
  </si>
  <si>
    <t>DAQ-705 v2.0,F/W-1.07</t>
  </si>
  <si>
    <t>DAQ-697 v2.0,F/W-1.07</t>
  </si>
  <si>
    <t>P129357,New Port</t>
  </si>
  <si>
    <t>, VSR &amp; Simulation, Uncoated CCD, Single Slit Mount, Arldite Used,visible cap mod</t>
  </si>
  <si>
    <t>4812/0115-2118(2008)</t>
  </si>
  <si>
    <t>SLAVE-239</t>
  </si>
  <si>
    <t>CCID-262</t>
  </si>
  <si>
    <t>4812/0115-2119(2009)</t>
  </si>
  <si>
    <t>SLAVE-236</t>
  </si>
  <si>
    <t>CCID-258</t>
  </si>
  <si>
    <t>4812/0115-2120(2010)</t>
  </si>
  <si>
    <t>4812/0115-2121(2011)</t>
  </si>
  <si>
    <t>DAQ-676 v2.0,F/W-1.07</t>
  </si>
  <si>
    <t>DAQ-717 v2.0,F/W-1.07</t>
  </si>
  <si>
    <t>4812/0115-2122(2012)</t>
  </si>
  <si>
    <t>SLAVE-91</t>
  </si>
  <si>
    <t>CCID-207</t>
  </si>
  <si>
    <t>New Port</t>
  </si>
  <si>
    <t>4812/0115-2123(2013)</t>
  </si>
  <si>
    <t>4812/0115-2124(2014)</t>
  </si>
  <si>
    <t>DAQ-722 v2.0,F/W-1.07</t>
  </si>
  <si>
    <t>DAQ-700 v2.0,F/W-1.07</t>
  </si>
  <si>
    <t>P129348,New Port</t>
  </si>
  <si>
    <t>, VSR &amp; Simulation, BEC, Uncoated CCD, Single Slit Mount, Arldite Used,visible cap mod</t>
  </si>
  <si>
    <t>4812/0115-2125(2015)</t>
  </si>
  <si>
    <t>4812/0115-2126(2016)</t>
  </si>
  <si>
    <t>DAQ-215 v2.0,F/W-1.07</t>
  </si>
  <si>
    <t>DAQ-221 v2.0,F/W-1.07</t>
  </si>
  <si>
    <t>P129347,New Port</t>
  </si>
  <si>
    <t>4812/0115-2127(2017)</t>
  </si>
  <si>
    <t>SLAVE-240</t>
  </si>
  <si>
    <t>CCID-265</t>
  </si>
  <si>
    <t>, VSR &amp; Simulation, BEC, Uncoated CCD, Arldite Used,ALKAR MIRROR</t>
  </si>
  <si>
    <t>4812/0115-2128(2018)</t>
  </si>
  <si>
    <t>SLAVE-246</t>
  </si>
  <si>
    <t>CCID-256</t>
  </si>
  <si>
    <t>, VSR &amp; Simulation, BEC, Uncoated CCD, Arldite Used,ICL Logic, Alkar</t>
  </si>
  <si>
    <t>4812/0115-2129(2019)</t>
  </si>
  <si>
    <t>SLAVE-242</t>
  </si>
  <si>
    <t>CCID-266</t>
  </si>
  <si>
    <t>, VSR &amp; Simulation, BEC, Uncoated CCD, Arldite Used,Alkar mirror</t>
  </si>
  <si>
    <t>4812/0115-2130(2020)</t>
  </si>
  <si>
    <t>SLAVE-229</t>
  </si>
  <si>
    <t>CCID-267</t>
  </si>
  <si>
    <t>4812/0115-2131(2021)</t>
  </si>
  <si>
    <t>SLAVE-262</t>
  </si>
  <si>
    <t>CCID-247</t>
  </si>
  <si>
    <t>4812/0115-2132(2022)</t>
  </si>
  <si>
    <t>SLAVE-67</t>
  </si>
  <si>
    <t>CCID-261</t>
  </si>
  <si>
    <t>, VSR &amp; Simulation, BEC, Uncoated CCD,anneling</t>
  </si>
  <si>
    <t>4812/0115-2133(2023)</t>
  </si>
  <si>
    <t>SLAVE-265</t>
  </si>
  <si>
    <t>CCID-244</t>
  </si>
  <si>
    <t>, VSR &amp; Simulation, BEC, Uncoated CCD,Alkar mirror</t>
  </si>
  <si>
    <t>Mar</t>
  </si>
  <si>
    <t>, VSR &amp; Simulation, BEC, Uncoated CCD, Single Slit Mount, Arldite Used,visible cap mod,daul channel DAQ,COPS</t>
  </si>
  <si>
    <t>4812/0115-2134(2024)</t>
  </si>
  <si>
    <t>4812/0115-2135(2025)</t>
  </si>
  <si>
    <t>DAQ-235 v2.0,F/W-1.07</t>
  </si>
  <si>
    <t>DAQ-239 v2.0,F/W-1.07</t>
  </si>
  <si>
    <t>, VSR &amp; Simulation, BEC, Uncoated CCD, Single Slit Mount, Arldite Used,Visible cap mod,dual channel DAQ card</t>
  </si>
  <si>
    <t>4812/0115-2136(2026)</t>
  </si>
  <si>
    <t>4812/0115-2137(2027)</t>
  </si>
  <si>
    <t>DAQ-228 v2.0,F/W-1.07</t>
  </si>
  <si>
    <t>DAQ-231 v2.0,F/W-1.07</t>
  </si>
  <si>
    <t>P129353,New Port</t>
  </si>
  <si>
    <t>4812/0115-2138(2028)</t>
  </si>
  <si>
    <t>4812/0115-2139(2029)</t>
  </si>
  <si>
    <t>DAQ-229 v2.0,F/W-1.07</t>
  </si>
  <si>
    <t>DAQ-237 v2.0,F/W-1.07</t>
  </si>
  <si>
    <t>P129351,New Port</t>
  </si>
  <si>
    <t>, VSR &amp; Simulation, BEC, Uncoated CCD, Single Slit Mount, Arldite Used,visible cap modification,dual channel  DAQ card</t>
  </si>
  <si>
    <t>, VSR &amp; Simulation, Uncoated CCD, Single Slit Mount, Arldite Used,visible cap mod,dual channel DAQ card</t>
  </si>
  <si>
    <t>4812/0115-2140(2030)</t>
  </si>
  <si>
    <t>SLAVE-192</t>
  </si>
  <si>
    <t>CCID-246</t>
  </si>
  <si>
    <t>4812/0115-2141(2031)</t>
  </si>
  <si>
    <t>SLAVE-258</t>
  </si>
  <si>
    <t>CCID-252</t>
  </si>
  <si>
    <t>, VSR &amp; Simulation, Uncoated CCD, Single Slit Mount,</t>
  </si>
  <si>
    <t>4812/0115-2142(2032)</t>
  </si>
  <si>
    <t>SLAVE-146</t>
  </si>
  <si>
    <t>CCID-251</t>
  </si>
  <si>
    <t xml:space="preserve">, VSR &amp; Simulation, Uncoated CCD, Single Slit Mount, </t>
  </si>
  <si>
    <t>4812/0115-2143(2033)</t>
  </si>
  <si>
    <t>4812/0115-2144(2034)</t>
  </si>
  <si>
    <t>DAQ-835 v2.0,F/W-1.07</t>
  </si>
  <si>
    <t>DAQ-833 v2.0,F/W-1.07</t>
  </si>
  <si>
    <t>P129354,New Port</t>
  </si>
  <si>
    <t>, VSR &amp; Simulation, Uncoated CCD, Single Slit Mount, Arldite Used,Visible cap mod</t>
  </si>
  <si>
    <t>4812/0115-2145(2035)</t>
  </si>
  <si>
    <t>4812/0115-2146(2036)</t>
  </si>
  <si>
    <t>DAQ-836 v2.0,F/W-1.07</t>
  </si>
  <si>
    <t>DAQ-840 v2.0,F/W-1.07</t>
  </si>
  <si>
    <t>P129356,New Port</t>
  </si>
  <si>
    <t>4812/0115-2147(2037)</t>
  </si>
  <si>
    <t>SLAVE-250</t>
  </si>
  <si>
    <t>CCID-248</t>
  </si>
  <si>
    <t>4812/0115-2148(2038)</t>
  </si>
  <si>
    <t>SLAVE-257</t>
  </si>
  <si>
    <t>CCID-249</t>
  </si>
  <si>
    <t>4812/0115-2149(2039)</t>
  </si>
  <si>
    <t>SLAVE-252</t>
  </si>
  <si>
    <t>CCID-245</t>
  </si>
  <si>
    <t>4812/0115-2150(2040)</t>
  </si>
  <si>
    <t>SLAVE-259</t>
  </si>
  <si>
    <t>CCID-253</t>
  </si>
  <si>
    <t>4812/0115-2151(2041)</t>
  </si>
  <si>
    <t>4812/0115-2152(2042)</t>
  </si>
  <si>
    <t>DAQ-832 v2.0,F/W-1.07</t>
  </si>
  <si>
    <t>DAQ-834 v2.0,F/W-1.07</t>
  </si>
  <si>
    <t>P129350,New Port</t>
  </si>
  <si>
    <t>4812/0115-2153(2043)</t>
  </si>
  <si>
    <t>SLAVE-264</t>
  </si>
  <si>
    <t>CCID-269</t>
  </si>
  <si>
    <t xml:space="preserve">, VSR &amp; Simulation, Uncoated CCD, </t>
  </si>
  <si>
    <t>, VSR &amp; Simulation, Uncoated CCD, ,BEC</t>
  </si>
  <si>
    <t>, VSR &amp; Simulation, Uncoated CCD,BEC</t>
  </si>
  <si>
    <t>336 CR</t>
  </si>
  <si>
    <t>4812/0115-2154(2044)</t>
  </si>
  <si>
    <t>DAQ-444v2.0,F/W-1.06</t>
  </si>
  <si>
    <t>Customer Return, VSR &amp; Simulation, Uncoated CCD,Realignment has done by replacing all compnent</t>
  </si>
  <si>
    <t>100 CR</t>
  </si>
  <si>
    <t>4812/0115-2155(2045)</t>
  </si>
  <si>
    <t>4812/0115-2156(2046)</t>
  </si>
  <si>
    <t>DAQ-405 v2.0,F/W-1.07</t>
  </si>
  <si>
    <t>DAQ-397 v2.0,F/W-1.07</t>
  </si>
  <si>
    <t xml:space="preserve">Customer Return, VSR &amp; Simulation, Uncoated CCD, Single Slit Mount, Arldite Used,Visible region realignment </t>
  </si>
  <si>
    <t>4812/0115-2157(2047)</t>
  </si>
  <si>
    <t>4812/0115-2158(2048)</t>
  </si>
  <si>
    <t>DAQ-849 v2.0,F/W-1.07</t>
  </si>
  <si>
    <t>DAQ-842 v2.0,F/W-1.07</t>
  </si>
  <si>
    <t>P129352,New Port</t>
  </si>
  <si>
    <t>, VSR &amp; Simulation, Uncoated CCD, Single Slit Mount, Arldite Used,visible cap modification, 7 µm slit used</t>
  </si>
  <si>
    <t>SLAVE-101</t>
  </si>
  <si>
    <t>CCID-270</t>
  </si>
  <si>
    <t>4812/0115-2159(2049)</t>
  </si>
  <si>
    <t>SLAVE-241</t>
  </si>
  <si>
    <t>CCID-20</t>
  </si>
  <si>
    <t>4812/0115-2160(2050)</t>
  </si>
  <si>
    <t>SLAVE-255</t>
  </si>
  <si>
    <t>CCID-272</t>
  </si>
  <si>
    <t>4812/0115-2161(2051)</t>
  </si>
  <si>
    <t>SLAVE-248</t>
  </si>
  <si>
    <t>CCID-149</t>
  </si>
  <si>
    <t>4812/0115-2162(2052)</t>
  </si>
  <si>
    <t>New Port,</t>
  </si>
  <si>
    <t>4812/0115-2163(2053)</t>
  </si>
  <si>
    <t>4812/0115-2164(2054)</t>
  </si>
  <si>
    <t>DAQ-837v2.02,F/W-1.07</t>
  </si>
  <si>
    <t>DAQ-831v2.02,F/W-1.07</t>
  </si>
  <si>
    <t>P------,New Port</t>
  </si>
  <si>
    <t>Tamoghna</t>
  </si>
  <si>
    <t>New UV Optic Align, final by R&amp;D, Single slit holder</t>
  </si>
  <si>
    <t>4812/0115-2165(2055)</t>
  </si>
  <si>
    <t>SLAVE-249</t>
  </si>
  <si>
    <t>CCID-271</t>
  </si>
  <si>
    <t>4812/0115-2166(2056)</t>
  </si>
  <si>
    <t>CCID-108</t>
  </si>
  <si>
    <t>CCID-274</t>
  </si>
  <si>
    <t>4812/0115-2167(2057)</t>
  </si>
  <si>
    <t>SLAVE-260</t>
  </si>
  <si>
    <t>CCID-275</t>
  </si>
  <si>
    <t>4812/0115-2168(2058)</t>
  </si>
  <si>
    <t>Apr</t>
  </si>
  <si>
    <t>SLAVE-254</t>
  </si>
  <si>
    <t>CCID-279</t>
  </si>
  <si>
    <t>4812/0115-2169(2059)</t>
  </si>
  <si>
    <t>SLAVE-263</t>
  </si>
  <si>
    <t>CCID-273</t>
  </si>
  <si>
    <t>4812/0115-2170(2060)</t>
  </si>
  <si>
    <t>SLAVE-268</t>
  </si>
  <si>
    <t>CCID-276</t>
  </si>
  <si>
    <t>4812/0115-2171(2061)</t>
  </si>
  <si>
    <t>, VSR &amp; Simulation, BEC, Uncoated CCD, M1 &amp; M3 alkar</t>
  </si>
  <si>
    <t>, VSR &amp; Simulation, BEC, Uncoated CCD,  M3 alkar</t>
  </si>
  <si>
    <t>, VSR &amp; Simulation, BEC, Uncoated CCD,M3 alkar</t>
  </si>
  <si>
    <t>, VSR &amp; Simulation, BEC, Uncoated CCD, M3 alkar</t>
  </si>
  <si>
    <t>, Uncoated CCD, Single Slit Mount, Arldite Used,</t>
  </si>
  <si>
    <t>4812/0115-2172(2062)</t>
  </si>
  <si>
    <t>4812/0115-2173(2063)</t>
  </si>
  <si>
    <t>21/233</t>
  </si>
  <si>
    <t>SLAVE-270</t>
  </si>
  <si>
    <t>CCID-278</t>
  </si>
  <si>
    <t>New Port,270</t>
  </si>
  <si>
    <t>4812/0115-2174(2064)</t>
  </si>
  <si>
    <t>SLAVE-134</t>
  </si>
  <si>
    <t>CCID-185</t>
  </si>
  <si>
    <t>New Port,134</t>
  </si>
  <si>
    <t>4812/0115-2175(2065)</t>
  </si>
  <si>
    <t>SLAVE-88</t>
  </si>
  <si>
    <t>CCID-277</t>
  </si>
  <si>
    <t>New Port,88</t>
  </si>
  <si>
    <t>4812/0115-2176(2066)</t>
  </si>
  <si>
    <t>DAQ-837 v2.0,F/W-1.07</t>
  </si>
  <si>
    <t>DAQ-838 v2.0,F/W-1.07</t>
  </si>
  <si>
    <t>DAQ-214 v2.0,F/W-1.07</t>
  </si>
  <si>
    <t>DAQ-234 v2.0,F/W-1.07</t>
  </si>
  <si>
    <t>, Uncoated CCD, Single Slit Mount, Arldite Used,CZ grating ,grating cap used in UV</t>
  </si>
  <si>
    <t>4812/0115-2177(2067)</t>
  </si>
  <si>
    <t>4812/0115-2178(2068)</t>
  </si>
  <si>
    <t>21/370,</t>
  </si>
  <si>
    <t>SLAVE-274</t>
  </si>
  <si>
    <t>CCID-283</t>
  </si>
  <si>
    <t>New Port,274</t>
  </si>
  <si>
    <t>4812/0115-2179(2069)</t>
  </si>
  <si>
    <t>1008I</t>
  </si>
  <si>
    <t>, Uncoated CCD, Single Slit Mount, Arldite Used,OLD OPTICS,HEADWALL GRATING CUSTOMER RETURN,MIRROR CAP USED IN VISIBLE</t>
  </si>
  <si>
    <t>4812/0115-2180(2070)</t>
  </si>
  <si>
    <t>4812/0115-2181(2071)</t>
  </si>
  <si>
    <t>DAQ-844 v2.0,F/W-1.07</t>
  </si>
  <si>
    <t>DAQ-845 v2.0,F/W-1.07</t>
  </si>
  <si>
    <t>DAQ-843 v2.0,F/W-1.07</t>
  </si>
  <si>
    <t>DAQ-847 v2.0,F/W-1.07</t>
  </si>
  <si>
    <t>21/368,843</t>
  </si>
  <si>
    <t>, Uncoated CCD, Single Slit Mount, Arldite Used,baffal used in dUV for straright light , mirror cap used in visible</t>
  </si>
  <si>
    <t>4812/0115-2182(2072)</t>
  </si>
  <si>
    <t>4812/0115-2183(2073)</t>
  </si>
  <si>
    <t>May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</si>
</sst>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-409]mmmm\ d\,\ yyyy;@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339966"/>
      <name val="Calibri"/>
      <family val="2"/>
    </font>
    <font>
      <b/>
      <sz val="20"/>
      <color theme="8" tint="-0.499984740745262"/>
      <name val="Calibri"/>
      <family val="2"/>
      <scheme val="minor"/>
    </font>
    <font>
      <sz val="11"/>
      <color rgb="FFFF0000"/>
      <name val="Calibri"/>
      <family val="2"/>
    </font>
    <font>
      <sz val="8"/>
      <name val="Calibri"/>
      <family val="2"/>
      <scheme val="minor"/>
    </font>
    <font>
      <sz val="8"/>
      <color rgb="FF000000"/>
      <name val="Segoe UI"/>
      <family val="2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1"/>
      <color rgb="FF7F7F7F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8" tint="0.39997558519241921"/>
        <bgColor indexed="65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">
    <xf numFmtId="0" fontId="0" fillId="0" borderId="0"/>
    <xf numFmtId="0" fontId="8" fillId="5" borderId="13" applyNumberFormat="0" applyAlignment="0" applyProtection="0"/>
    <xf numFmtId="0" fontId="9" fillId="6" borderId="14" applyNumberFormat="0" applyAlignment="0" applyProtection="0"/>
    <xf numFmtId="0" fontId="11" fillId="0" borderId="0" applyNumberFormat="0" applyFill="0" applyBorder="0" applyAlignment="0" applyProtection="0"/>
    <xf numFmtId="0" fontId="13" fillId="7" borderId="0" applyNumberFormat="0" applyBorder="0" applyAlignment="0" applyProtection="0"/>
    <xf numFmtId="0" fontId="7" fillId="8" borderId="0" applyNumberFormat="0" applyBorder="0" applyAlignment="0" applyProtection="0"/>
    <xf numFmtId="0" fontId="7" fillId="9" borderId="0" applyNumberFormat="0" applyBorder="0" applyAlignment="0" applyProtection="0"/>
  </cellStyleXfs>
  <cellXfs count="73">
    <xf numFmtId="0" fontId="0" fillId="0" borderId="0" xfId="0"/>
    <xf numFmtId="0" fontId="0" fillId="0" borderId="0" xfId="0" applyAlignment="1">
      <alignment horizontal="center" vertical="center"/>
    </xf>
    <xf numFmtId="0" fontId="0" fillId="3" borderId="0" xfId="0" applyFill="1" applyAlignment="1">
      <alignment horizontal="center" vertical="center"/>
    </xf>
    <xf numFmtId="164" fontId="0" fillId="3" borderId="0" xfId="0" applyNumberFormat="1" applyFill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0" fillId="0" borderId="0" xfId="0" pivotButton="1" applyAlignment="1">
      <alignment horizontal="center" vertical="center"/>
    </xf>
    <xf numFmtId="0" fontId="0" fillId="3" borderId="0" xfId="0" applyFill="1" applyProtection="1">
      <protection locked="0"/>
    </xf>
    <xf numFmtId="0" fontId="0" fillId="2" borderId="0" xfId="0" applyFill="1" applyProtection="1">
      <protection locked="0"/>
    </xf>
    <xf numFmtId="0" fontId="0" fillId="2" borderId="0" xfId="0" applyFill="1" applyAlignment="1" applyProtection="1">
      <alignment horizontal="right"/>
      <protection locked="0"/>
    </xf>
    <xf numFmtId="0" fontId="0" fillId="2" borderId="0" xfId="0" applyFill="1" applyAlignment="1" applyProtection="1">
      <alignment horizontal="center"/>
      <protection locked="0"/>
    </xf>
    <xf numFmtId="0" fontId="0" fillId="2" borderId="0" xfId="0" applyFill="1" applyAlignment="1">
      <alignment horizontal="right"/>
    </xf>
    <xf numFmtId="0" fontId="0" fillId="3" borderId="0" xfId="0" applyFill="1" applyAlignment="1" applyProtection="1">
      <alignment horizontal="right"/>
      <protection locked="0"/>
    </xf>
    <xf numFmtId="0" fontId="0" fillId="3" borderId="0" xfId="0" applyFill="1" applyAlignment="1" applyProtection="1">
      <alignment horizontal="center"/>
      <protection locked="0"/>
    </xf>
    <xf numFmtId="49" fontId="0" fillId="2" borderId="0" xfId="0" applyNumberFormat="1" applyFill="1" applyAlignment="1" applyProtection="1">
      <alignment horizontal="left" vertical="top"/>
      <protection locked="0"/>
    </xf>
    <xf numFmtId="0" fontId="0" fillId="0" borderId="1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164" fontId="0" fillId="4" borderId="0" xfId="0" applyNumberFormat="1" applyFill="1" applyAlignment="1" applyProtection="1">
      <alignment horizontal="center" vertical="center"/>
      <protection locked="0"/>
    </xf>
    <xf numFmtId="0" fontId="0" fillId="4" borderId="0" xfId="0" applyFill="1" applyAlignment="1" applyProtection="1">
      <alignment horizontal="center" vertical="center"/>
      <protection locked="0"/>
    </xf>
    <xf numFmtId="0" fontId="0" fillId="4" borderId="0" xfId="0" applyFill="1" applyAlignment="1">
      <alignment horizontal="center" vertical="center"/>
    </xf>
    <xf numFmtId="1" fontId="0" fillId="4" borderId="0" xfId="0" applyNumberFormat="1" applyFill="1" applyAlignment="1">
      <alignment horizontal="center" vertical="center"/>
    </xf>
    <xf numFmtId="1" fontId="0" fillId="4" borderId="0" xfId="0" applyNumberFormat="1" applyFill="1" applyAlignment="1">
      <alignment horizontal="center" vertical="center" wrapText="1"/>
    </xf>
    <xf numFmtId="1" fontId="0" fillId="4" borderId="0" xfId="0" applyNumberFormat="1" applyFill="1" applyAlignment="1" applyProtection="1">
      <alignment horizontal="center" vertical="center"/>
      <protection locked="0"/>
    </xf>
    <xf numFmtId="49" fontId="0" fillId="4" borderId="0" xfId="0" applyNumberFormat="1" applyFill="1" applyAlignment="1" applyProtection="1">
      <alignment horizontal="left" vertical="top"/>
      <protection locked="0"/>
    </xf>
    <xf numFmtId="0" fontId="0" fillId="2" borderId="0" xfId="0" applyFill="1" applyAlignment="1" applyProtection="1">
      <alignment horizontal="center" vertical="center"/>
      <protection locked="0"/>
    </xf>
    <xf numFmtId="1" fontId="0" fillId="0" borderId="1" xfId="0" quotePrefix="1" applyNumberFormat="1" applyBorder="1" applyAlignment="1">
      <alignment horizontal="center" vertical="center"/>
    </xf>
    <xf numFmtId="0" fontId="0" fillId="0" borderId="0" xfId="0" applyProtection="1">
      <protection locked="0"/>
    </xf>
    <xf numFmtId="0" fontId="0" fillId="0" borderId="0" xfId="0" applyAlignment="1" applyProtection="1">
      <alignment wrapText="1"/>
      <protection locked="0"/>
    </xf>
    <xf numFmtId="0" fontId="0" fillId="3" borderId="8" xfId="0" applyFill="1" applyBorder="1" applyAlignment="1" applyProtection="1">
      <alignment horizontal="center" vertical="center"/>
      <protection locked="0"/>
    </xf>
    <xf numFmtId="0" fontId="0" fillId="3" borderId="2" xfId="0" applyFill="1" applyBorder="1" applyAlignment="1" applyProtection="1">
      <alignment horizontal="center" vertical="center"/>
      <protection locked="0"/>
    </xf>
    <xf numFmtId="164" fontId="0" fillId="3" borderId="2" xfId="0" applyNumberFormat="1" applyFill="1" applyBorder="1" applyAlignment="1" applyProtection="1">
      <alignment horizontal="center" vertical="center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64" fontId="0" fillId="0" borderId="1" xfId="0" applyNumberFormat="1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164" fontId="0" fillId="0" borderId="5" xfId="0" applyNumberFormat="1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 wrapText="1"/>
      <protection locked="0"/>
    </xf>
    <xf numFmtId="0" fontId="0" fillId="0" borderId="11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1" fillId="0" borderId="12" xfId="0" applyFont="1" applyBorder="1" applyAlignment="1" applyProtection="1">
      <alignment horizontal="center" vertical="center"/>
      <protection locked="0"/>
    </xf>
    <xf numFmtId="0" fontId="1" fillId="0" borderId="10" xfId="0" applyFont="1" applyBorder="1" applyAlignment="1" applyProtection="1">
      <alignment horizontal="center" vertical="center"/>
      <protection locked="0"/>
    </xf>
    <xf numFmtId="164" fontId="0" fillId="0" borderId="0" xfId="0" applyNumberFormat="1"/>
    <xf numFmtId="0" fontId="15" fillId="0" borderId="8" xfId="3" applyFont="1" applyBorder="1" applyAlignment="1">
      <alignment horizontal="center" vertical="center"/>
    </xf>
    <xf numFmtId="0" fontId="9" fillId="6" borderId="2" xfId="2" applyBorder="1" applyAlignment="1">
      <alignment horizontal="center" vertical="center"/>
    </xf>
    <xf numFmtId="0" fontId="12" fillId="8" borderId="2" xfId="5" applyFont="1" applyBorder="1" applyAlignment="1">
      <alignment horizontal="center" vertical="center"/>
    </xf>
    <xf numFmtId="0" fontId="10" fillId="7" borderId="2" xfId="4" applyFont="1" applyBorder="1" applyAlignment="1">
      <alignment horizontal="center" vertical="center"/>
    </xf>
    <xf numFmtId="0" fontId="12" fillId="9" borderId="2" xfId="6" applyFont="1" applyBorder="1" applyAlignment="1">
      <alignment horizontal="center" vertical="center"/>
    </xf>
    <xf numFmtId="0" fontId="15" fillId="0" borderId="3" xfId="3" applyFont="1" applyBorder="1" applyAlignment="1">
      <alignment horizontal="center" vertical="center"/>
    </xf>
    <xf numFmtId="0" fontId="15" fillId="0" borderId="4" xfId="3" applyFont="1" applyBorder="1" applyAlignment="1">
      <alignment horizontal="center" vertical="center"/>
    </xf>
    <xf numFmtId="0" fontId="9" fillId="6" borderId="1" xfId="2" applyBorder="1" applyAlignment="1">
      <alignment horizontal="center" vertical="center"/>
    </xf>
    <xf numFmtId="0" fontId="14" fillId="5" borderId="1" xfId="1" applyFont="1" applyBorder="1" applyAlignment="1">
      <alignment horizontal="center" vertical="center"/>
    </xf>
    <xf numFmtId="0" fontId="12" fillId="8" borderId="1" xfId="5" applyFont="1" applyBorder="1" applyAlignment="1">
      <alignment horizontal="center" vertical="center"/>
    </xf>
    <xf numFmtId="0" fontId="10" fillId="7" borderId="1" xfId="4" applyFont="1" applyBorder="1" applyAlignment="1">
      <alignment horizontal="center" vertical="center"/>
    </xf>
    <xf numFmtId="0" fontId="9" fillId="6" borderId="5" xfId="2" applyBorder="1" applyAlignment="1">
      <alignment horizontal="center" vertical="center"/>
    </xf>
    <xf numFmtId="0" fontId="12" fillId="8" borderId="5" xfId="5" applyFont="1" applyBorder="1" applyAlignment="1">
      <alignment horizontal="center" vertical="center"/>
    </xf>
    <xf numFmtId="0" fontId="10" fillId="7" borderId="5" xfId="4" applyFont="1" applyBorder="1" applyAlignment="1">
      <alignment horizontal="center" vertical="center"/>
    </xf>
    <xf numFmtId="0" fontId="0" fillId="4" borderId="0" xfId="0" applyFill="1" applyProtection="1">
      <protection locked="0"/>
    </xf>
    <xf numFmtId="0" fontId="0" fillId="2" borderId="0" xfId="0" applyFill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164" fontId="0" fillId="3" borderId="1" xfId="0" applyNumberFormat="1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 wrapText="1"/>
    </xf>
    <xf numFmtId="0" fontId="3" fillId="2" borderId="0" xfId="0" applyFont="1" applyFill="1" applyAlignment="1" applyProtection="1">
      <alignment horizontal="center" vertical="center"/>
      <protection locked="0"/>
    </xf>
    <xf numFmtId="0" fontId="0" fillId="2" borderId="0" xfId="0" applyFill="1" applyAlignment="1" applyProtection="1">
      <alignment horizontal="center" vertical="center"/>
      <protection locked="0"/>
    </xf>
    <xf numFmtId="49" fontId="0" fillId="4" borderId="0" xfId="0" applyNumberFormat="1" applyFill="1" applyAlignment="1" applyProtection="1">
      <alignment horizontal="center" vertical="top"/>
      <protection locked="0"/>
    </xf>
    <xf numFmtId="0" fontId="0" fillId="0" borderId="0" xfId="0" applyNumberFormat="1" applyAlignment="1">
      <alignment horizontal="center" vertical="center"/>
    </xf>
  </cellXfs>
  <cellStyles count="7">
    <cellStyle name="60% - Accent3" xfId="5" builtinId="40"/>
    <cellStyle name="60% - Accent5" xfId="6" builtinId="48"/>
    <cellStyle name="Accent2" xfId="4" builtinId="33"/>
    <cellStyle name="Explanatory Text" xfId="3" builtinId="53"/>
    <cellStyle name="Input" xfId="1" builtinId="20"/>
    <cellStyle name="Normal" xfId="0" builtinId="0"/>
    <cellStyle name="Output" xfId="2" builtinId="21"/>
  </cellStyles>
  <dxfs count="66">
    <dxf>
      <font>
        <b/>
        <i val="0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vertical="center"/>
    </dxf>
    <dxf>
      <alignment horizontal="center"/>
    </dxf>
    <dxf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[$-409]mmmm\ d\,\ yyyy;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[$-409]mmmm\ d\,\ yyyy;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fill>
        <patternFill patternType="solid">
          <fgColor indexed="64"/>
          <bgColor theme="0" tint="-0.49998474074526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164" formatCode="[$-409]mmmm\ d\,\ yyyy;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164" formatCode="[$-409]mmmm\ d\,\ yyyy;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0.49998474074526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ill>
        <patternFill>
          <bgColor theme="8"/>
        </patternFill>
      </fill>
    </dxf>
    <dxf>
      <fill>
        <patternFill>
          <bgColor theme="4"/>
        </patternFill>
      </fill>
    </dxf>
    <dxf>
      <fill>
        <patternFill>
          <bgColor theme="8"/>
        </patternFill>
      </fill>
    </dxf>
    <dxf>
      <font>
        <color theme="0"/>
      </font>
      <fill>
        <patternFill patternType="solid">
          <bgColor theme="0"/>
        </patternFill>
      </fill>
    </dxf>
  </dxfs>
  <tableStyles count="1" defaultTableStyle="TableStyleMedium2" defaultPivotStyle="PivotStyleLight16">
    <tableStyle name="Table Style 1" pivot="0" count="0" xr9:uid="{27C093CE-0132-4080-9CF6-39AB16DC34F9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[OAL FINAL (1).xlsm]Logs!PivotTable1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Logs!$B$1:$B$2</c:f>
              <c:strCache>
                <c:ptCount val="1"/>
                <c:pt idx="0">
                  <c:v>1008i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Logs!$A$3:$A$8</c:f>
              <c:strCache>
                <c:ptCount val="5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</c:strCache>
            </c:strRef>
          </c:cat>
          <c:val>
            <c:numRef>
              <c:f>Logs!$B$3:$B$8</c:f>
              <c:numCache>
                <c:formatCode>General</c:formatCode>
                <c:ptCount val="5"/>
                <c:pt idx="0">
                  <c:v>9</c:v>
                </c:pt>
                <c:pt idx="1">
                  <c:v>8</c:v>
                </c:pt>
                <c:pt idx="2">
                  <c:v>8</c:v>
                </c:pt>
                <c:pt idx="3">
                  <c:v>3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A5-4E9B-955F-3E27DA0648F7}"/>
            </c:ext>
          </c:extLst>
        </c:ser>
        <c:ser>
          <c:idx val="1"/>
          <c:order val="1"/>
          <c:tx>
            <c:strRef>
              <c:f>Logs!$C$1:$C$2</c:f>
              <c:strCache>
                <c:ptCount val="1"/>
                <c:pt idx="0">
                  <c:v>Moss V1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Logs!$A$3:$A$8</c:f>
              <c:strCache>
                <c:ptCount val="5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</c:strCache>
            </c:strRef>
          </c:cat>
          <c:val>
            <c:numRef>
              <c:f>Logs!$C$3:$C$8</c:f>
              <c:numCache>
                <c:formatCode>General</c:formatCode>
                <c:ptCount val="5"/>
                <c:pt idx="0">
                  <c:v>2</c:v>
                </c:pt>
                <c:pt idx="1">
                  <c:v>2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57-4784-956C-F0FCDB460270}"/>
            </c:ext>
          </c:extLst>
        </c:ser>
        <c:ser>
          <c:idx val="2"/>
          <c:order val="2"/>
          <c:tx>
            <c:strRef>
              <c:f>Logs!$D$1:$D$2</c:f>
              <c:strCache>
                <c:ptCount val="1"/>
                <c:pt idx="0">
                  <c:v>Moss V2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Logs!$A$3:$A$8</c:f>
              <c:strCache>
                <c:ptCount val="5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</c:strCache>
            </c:strRef>
          </c:cat>
          <c:val>
            <c:numRef>
              <c:f>Logs!$D$3:$D$8</c:f>
              <c:numCache>
                <c:formatCode>General</c:formatCode>
                <c:ptCount val="5"/>
                <c:pt idx="0">
                  <c:v>10</c:v>
                </c:pt>
                <c:pt idx="1">
                  <c:v>19</c:v>
                </c:pt>
                <c:pt idx="2">
                  <c:v>15</c:v>
                </c:pt>
                <c:pt idx="3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68-4AC7-A230-85D7D0558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20105951"/>
        <c:axId val="920105535"/>
      </c:barChart>
      <c:catAx>
        <c:axId val="9201059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0105535"/>
        <c:crosses val="autoZero"/>
        <c:auto val="1"/>
        <c:lblAlgn val="ctr"/>
        <c:lblOffset val="100"/>
        <c:noMultiLvlLbl val="0"/>
      </c:catAx>
      <c:valAx>
        <c:axId val="920105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01059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CAL!$C$14" lockText="1" noThreeD="1"/>
</file>

<file path=xl/ctrlProps/ctrlProp4.xml><?xml version="1.0" encoding="utf-8"?>
<formControlPr xmlns="http://schemas.microsoft.com/office/spreadsheetml/2009/9/main" objectType="CheckBox" fmlaLink="CAL!$C$15" lockText="1" noThreeD="1"/>
</file>

<file path=xl/ctrlProps/ctrlProp5.xml><?xml version="1.0" encoding="utf-8"?>
<formControlPr xmlns="http://schemas.microsoft.com/office/spreadsheetml/2009/9/main" objectType="CheckBox" fmlaLink="CAL!$C$16" lockText="1" noThreeD="1"/>
</file>

<file path=xl/ctrlProps/ctrlProp6.xml><?xml version="1.0" encoding="utf-8"?>
<formControlPr xmlns="http://schemas.microsoft.com/office/spreadsheetml/2009/9/main" objectType="CheckBox" checked="Checked" fmlaLink="CAL!$C$17" lockText="1" noThreeD="1"/>
</file>

<file path=xl/ctrlProps/ctrlProp7.xml><?xml version="1.0" encoding="utf-8"?>
<formControlPr xmlns="http://schemas.microsoft.com/office/spreadsheetml/2009/9/main" objectType="CheckBox" checked="Checked" fmlaLink="CAL!$C$18" lockText="1" noThreeD="1"/>
</file>

<file path=xl/ctrlProps/ctrlProp8.xml><?xml version="1.0" encoding="utf-8"?>
<formControlPr xmlns="http://schemas.microsoft.com/office/spreadsheetml/2009/9/main" objectType="CheckBox" checked="Checked" fmlaLink="CAL!$C$19" lockText="1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29</xdr:row>
          <xdr:rowOff>19050</xdr:rowOff>
        </xdr:from>
        <xdr:to>
          <xdr:col>4</xdr:col>
          <xdr:colOff>0</xdr:colOff>
          <xdr:row>31</xdr:row>
          <xdr:rowOff>19050</xdr:rowOff>
        </xdr:to>
        <xdr:sp macro="" textlink="">
          <xdr:nvSpPr>
            <xdr:cNvPr id="2057" name="Button 9" descr="SUMBIT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485775</xdr:colOff>
          <xdr:row>29</xdr:row>
          <xdr:rowOff>19050</xdr:rowOff>
        </xdr:from>
        <xdr:to>
          <xdr:col>5</xdr:col>
          <xdr:colOff>1200150</xdr:colOff>
          <xdr:row>31</xdr:row>
          <xdr:rowOff>28575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0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CANCEL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238125</xdr:colOff>
          <xdr:row>15</xdr:row>
          <xdr:rowOff>171450</xdr:rowOff>
        </xdr:from>
        <xdr:to>
          <xdr:col>3</xdr:col>
          <xdr:colOff>1343025</xdr:colOff>
          <xdr:row>17</xdr:row>
          <xdr:rowOff>28575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0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Customer Return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15</xdr:row>
          <xdr:rowOff>123825</xdr:rowOff>
        </xdr:from>
        <xdr:to>
          <xdr:col>5</xdr:col>
          <xdr:colOff>1266825</xdr:colOff>
          <xdr:row>17</xdr:row>
          <xdr:rowOff>76200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0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VSR &amp; Simulation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15</xdr:row>
          <xdr:rowOff>171450</xdr:rowOff>
        </xdr:from>
        <xdr:to>
          <xdr:col>7</xdr:col>
          <xdr:colOff>990600</xdr:colOff>
          <xdr:row>17</xdr:row>
          <xdr:rowOff>0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0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BEC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19</xdr:row>
          <xdr:rowOff>0</xdr:rowOff>
        </xdr:from>
        <xdr:to>
          <xdr:col>3</xdr:col>
          <xdr:colOff>876300</xdr:colOff>
          <xdr:row>20</xdr:row>
          <xdr:rowOff>19050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Uncoated CCD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295275</xdr:colOff>
          <xdr:row>19</xdr:row>
          <xdr:rowOff>0</xdr:rowOff>
        </xdr:from>
        <xdr:to>
          <xdr:col>5</xdr:col>
          <xdr:colOff>1285875</xdr:colOff>
          <xdr:row>20</xdr:row>
          <xdr:rowOff>0</xdr:rowOff>
        </xdr:to>
        <xdr:sp macro="" textlink="">
          <xdr:nvSpPr>
            <xdr:cNvPr id="2074" name="Check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Single Slit Mount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19</xdr:row>
          <xdr:rowOff>0</xdr:rowOff>
        </xdr:from>
        <xdr:to>
          <xdr:col>7</xdr:col>
          <xdr:colOff>990600</xdr:colOff>
          <xdr:row>20</xdr:row>
          <xdr:rowOff>19050</xdr:rowOff>
        </xdr:to>
        <xdr:sp macro="" textlink="">
          <xdr:nvSpPr>
            <xdr:cNvPr id="2075" name="Check Box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Arldite Used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19050</xdr:colOff>
      <xdr:row>0</xdr:row>
      <xdr:rowOff>0</xdr:rowOff>
    </xdr:from>
    <xdr:to>
      <xdr:col>12</xdr:col>
      <xdr:colOff>180975</xdr:colOff>
      <xdr:row>19</xdr:row>
      <xdr:rowOff>9524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ADMIN" refreshedDate="44858.605574189816" createdVersion="7" refreshedVersion="7" minRefreshableVersion="3" recordCount="88" xr:uid="{3676A785-2029-4EE7-8BC4-CC6A7FE9CFFB}">
  <cacheSource type="worksheet">
    <worksheetSource name="Table4"/>
  </cacheSource>
  <cacheFields count="14">
    <cacheField name="SrNo" numFmtId="0">
      <sharedItems containsSemiMixedTypes="0" containsString="0" containsNumber="1" containsInteger="1" minValue="1" maxValue="88"/>
    </cacheField>
    <cacheField name="Model" numFmtId="0">
      <sharedItems containsMixedTypes="1" containsNumber="1" containsInteger="1" minValue="0" maxValue="0" count="5">
        <s v="1008i"/>
        <s v="Moss V2"/>
        <s v="Moss V1"/>
        <s v="108n"/>
        <n v="0" u="1"/>
      </sharedItems>
    </cacheField>
    <cacheField name="Bench No" numFmtId="0">
      <sharedItems containsMixedTypes="1" containsNumber="1" containsInteger="1" minValue="169" maxValue="1208"/>
    </cacheField>
    <cacheField name="Start Date" numFmtId="164">
      <sharedItems containsSemiMixedTypes="0" containsNonDate="0" containsDate="1" containsString="0" minDate="2022-01-03T00:00:00" maxDate="2022-04-29T00:00:00"/>
    </cacheField>
    <cacheField name="End Date" numFmtId="164">
      <sharedItems containsSemiMixedTypes="0" containsNonDate="0" containsDate="1" containsString="0" minDate="2022-01-05T00:00:00" maxDate="2022-05-04T00:00:00" count="64">
        <d v="2022-05-03T00:00:00"/>
        <d v="2022-04-30T00:00:00"/>
        <d v="2022-04-28T00:00:00"/>
        <d v="2022-04-27T00:00:00"/>
        <d v="2022-04-25T00:00:00"/>
        <d v="2022-04-22T00:00:00"/>
        <d v="2022-04-20T00:00:00"/>
        <d v="2022-04-21T00:00:00"/>
        <d v="2022-04-19T00:00:00"/>
        <d v="2022-04-18T00:00:00"/>
        <d v="2022-04-16T00:00:00"/>
        <d v="2022-04-15T00:00:00"/>
        <d v="2022-03-13T00:00:00"/>
        <d v="2022-03-23T00:00:00"/>
        <d v="2022-03-06T00:00:00"/>
        <d v="2022-03-28T00:00:00"/>
        <d v="2022-03-17T00:00:00"/>
        <d v="2022-03-22T00:00:00"/>
        <d v="2022-03-21T00:00:00"/>
        <d v="2022-03-19T00:00:00"/>
        <d v="2022-03-09T00:00:00"/>
        <d v="2022-03-15T00:00:00"/>
        <d v="2022-03-14T00:00:00"/>
        <d v="2022-03-12T00:00:00"/>
        <d v="2022-03-10T00:00:00"/>
        <d v="2022-03-11T00:00:00"/>
        <d v="2022-03-08T00:00:00"/>
        <d v="2022-03-07T00:00:00"/>
        <d v="2022-02-05T00:00:00"/>
        <d v="2022-03-03T00:00:00"/>
        <d v="2022-03-01T00:00:00"/>
        <d v="2022-02-16T00:00:00"/>
        <d v="2022-02-26T00:00:00"/>
        <d v="2022-02-23T00:00:00"/>
        <d v="2022-02-22T00:00:00"/>
        <d v="2022-02-25T00:00:00"/>
        <d v="2022-02-21T00:00:00"/>
        <d v="2022-02-18T00:00:00"/>
        <d v="2022-02-17T00:00:00"/>
        <d v="2022-02-15T00:00:00"/>
        <d v="2022-02-14T00:00:00"/>
        <d v="2022-02-11T00:00:00"/>
        <d v="2022-02-10T00:00:00"/>
        <d v="2022-02-09T00:00:00"/>
        <d v="2022-02-03T00:00:00"/>
        <d v="2022-02-07T00:00:00"/>
        <d v="2022-02-06T00:00:00"/>
        <d v="2022-02-04T00:00:00"/>
        <d v="2022-02-02T00:00:00"/>
        <d v="2022-01-30T00:00:00"/>
        <d v="2022-01-28T00:00:00"/>
        <d v="2022-02-01T00:00:00"/>
        <d v="2022-01-31T00:00:00"/>
        <d v="2022-01-27T00:00:00"/>
        <d v="2022-01-25T00:00:00"/>
        <d v="2022-01-20T00:00:00"/>
        <d v="2022-01-18T00:00:00"/>
        <d v="2022-01-17T00:00:00"/>
        <d v="2022-01-15T00:00:00"/>
        <d v="2022-01-13T00:00:00"/>
        <d v="2022-01-07T00:00:00"/>
        <d v="2022-01-10T00:00:00"/>
        <d v="2022-01-06T00:00:00"/>
        <d v="2022-01-05T00:00:00"/>
      </sharedItems>
      <fieldGroup par="13" base="4">
        <rangePr groupBy="days" startDate="2022-01-05T00:00:00" endDate="2022-05-04T00:00:00"/>
        <groupItems count="368">
          <s v="&lt;05-01-22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04-05-22"/>
        </groupItems>
      </fieldGroup>
    </cacheField>
    <cacheField name="CCD 1" numFmtId="0">
      <sharedItems/>
    </cacheField>
    <cacheField name="CCD 2" numFmtId="0">
      <sharedItems containsBlank="1"/>
    </cacheField>
    <cacheField name="DAQ 1" numFmtId="0">
      <sharedItems/>
    </cacheField>
    <cacheField name="DAQ 2" numFmtId="0">
      <sharedItems/>
    </cacheField>
    <cacheField name="Slit" numFmtId="0">
      <sharedItems/>
    </cacheField>
    <cacheField name="Grating" numFmtId="0">
      <sharedItems containsBlank="1"/>
    </cacheField>
    <cacheField name="Alignment Engineer" numFmtId="0">
      <sharedItems/>
    </cacheField>
    <cacheField name="Remark" numFmtId="0">
      <sharedItems/>
    </cacheField>
    <cacheField name="Months" numFmtId="0" databaseField="0">
      <fieldGroup base="4">
        <rangePr groupBy="months" startDate="2022-01-05T00:00:00" endDate="2022-05-04T00:00:00"/>
        <groupItems count="14">
          <s v="&lt;05-01-22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04-05-2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8">
  <r>
    <n v="88"/>
    <x v="0"/>
    <n v="224"/>
    <d v="2022-04-26T00:00:00"/>
    <x v="0"/>
    <s v="4812/0115-2182(2072)"/>
    <s v="4812/0115-2183(2073)"/>
    <s v="DAQ-843 v2.0,F/W-1.07"/>
    <s v="DAQ-847 v2.0,F/W-1.07"/>
    <s v="10µm"/>
    <s v="21/368,843"/>
    <s v="Tamoghna"/>
    <s v=", Uncoated CCD, Single Slit Mount, Arldite Used,baffal used in dUV for straright light , mirror cap used in visible"/>
  </r>
  <r>
    <n v="87"/>
    <x v="0"/>
    <n v="223"/>
    <d v="2022-04-22T00:00:00"/>
    <x v="1"/>
    <s v="4812/0115-2180(2070)"/>
    <s v="4812/0115-2181(2071)"/>
    <s v="DAQ-844 v2.0,F/W-1.07"/>
    <s v="DAQ-845 v2.0,F/W-1.07"/>
    <s v="10µm"/>
    <m/>
    <s v="Tamoghna"/>
    <s v=", Uncoated CCD, Single Slit Mount, Arldite Used,OLD OPTICS,HEADWALL GRATING CUSTOMER RETURN,MIRROR CAP USED IN VISIBLE"/>
  </r>
  <r>
    <n v="86"/>
    <x v="1"/>
    <n v="1208"/>
    <d v="2022-04-28T00:00:00"/>
    <x v="2"/>
    <s v="4812/0115-2179(2069)"/>
    <s v=""/>
    <s v="SLAVE-274"/>
    <s v="CCID-283"/>
    <s v="5µm"/>
    <s v="New Port,274"/>
    <s v="Ajay.P"/>
    <s v=", VSR &amp; Simulation, BEC, Uncoated CCD,"/>
  </r>
  <r>
    <n v="85"/>
    <x v="0"/>
    <n v="222"/>
    <d v="2022-04-20T00:00:00"/>
    <x v="3"/>
    <s v="4812/0115-2177(2067)"/>
    <s v="4812/0115-2178(2068)"/>
    <s v="DAQ-214 v2.0,F/W-1.07"/>
    <s v="DAQ-234 v2.0,F/W-1.07"/>
    <s v="10µm"/>
    <s v="21/370,"/>
    <s v="Tamoghna"/>
    <s v=", Uncoated CCD, Single Slit Mount, Arldite Used,CZ grating ,grating cap used in UV"/>
  </r>
  <r>
    <n v="84"/>
    <x v="1"/>
    <n v="1207"/>
    <d v="2022-04-25T00:00:00"/>
    <x v="4"/>
    <s v="4812/0115-2176(2066)"/>
    <s v=""/>
    <s v="SLAVE-88"/>
    <s v="CCID-277"/>
    <s v="5µm"/>
    <s v="New Port,88"/>
    <s v="Ajay.P"/>
    <s v=", VSR &amp; Simulation, BEC, Uncoated CCD,"/>
  </r>
  <r>
    <n v="83"/>
    <x v="1"/>
    <n v="1206"/>
    <d v="2022-04-22T00:00:00"/>
    <x v="5"/>
    <s v="4812/0115-2175(2065)"/>
    <s v=""/>
    <s v="SLAVE-134"/>
    <s v="CCID-185"/>
    <s v="5µm"/>
    <s v="New Port,134"/>
    <s v="Ajay.P"/>
    <s v=", VSR &amp; Simulation, BEC, Uncoated CCD,"/>
  </r>
  <r>
    <n v="82"/>
    <x v="1"/>
    <n v="1204"/>
    <d v="2022-04-20T00:00:00"/>
    <x v="6"/>
    <s v="4812/0115-2174(2064)"/>
    <s v=""/>
    <s v="SLAVE-270"/>
    <s v="CCID-278"/>
    <s v="5µm"/>
    <s v="New Port,270"/>
    <s v="Ajay.P"/>
    <s v=", VSR &amp; Simulation, BEC, Uncoated CCD,"/>
  </r>
  <r>
    <n v="81"/>
    <x v="0"/>
    <n v="221"/>
    <d v="2022-04-14T00:00:00"/>
    <x v="7"/>
    <s v="4812/0115-2172(2062)"/>
    <s v="4812/0115-2173(2063)"/>
    <s v="DAQ-837 v2.0,F/W-1.07"/>
    <s v="DAQ-838 v2.0,F/W-1.07"/>
    <s v="10µm"/>
    <s v="21/233"/>
    <s v="Tamoghna"/>
    <s v=", Uncoated CCD, Single Slit Mount, Arldite Used,"/>
  </r>
  <r>
    <n v="80"/>
    <x v="1"/>
    <n v="1205"/>
    <d v="2022-04-19T00:00:00"/>
    <x v="8"/>
    <s v="4812/0115-2171(2061)"/>
    <s v=""/>
    <s v="SLAVE-268"/>
    <s v="CCID-276"/>
    <s v="5µm"/>
    <s v="New Port,"/>
    <s v="Ajay.P"/>
    <s v=", VSR &amp; Simulation, BEC, Uncoated CCD,  M3 alkar"/>
  </r>
  <r>
    <n v="79"/>
    <x v="1"/>
    <n v="1203"/>
    <d v="2022-04-18T00:00:00"/>
    <x v="9"/>
    <s v="4812/0115-2170(2060)"/>
    <s v=""/>
    <s v="SLAVE-263"/>
    <s v="CCID-273"/>
    <s v="5µm"/>
    <s v="New Port,"/>
    <s v="Vishal.B"/>
    <s v=", VSR &amp; Simulation, BEC, Uncoated CCD,M3 alkar"/>
  </r>
  <r>
    <n v="78"/>
    <x v="1"/>
    <n v="1202"/>
    <d v="2022-04-18T00:00:00"/>
    <x v="9"/>
    <s v="4812/0115-2169(2059)"/>
    <s v=""/>
    <s v="SLAVE-254"/>
    <s v="CCID-279"/>
    <s v="5µm"/>
    <s v="New Port,New Port"/>
    <s v="Ajay.P"/>
    <s v=", VSR &amp; Simulation, BEC, Uncoated CCD, M1 &amp; M3 alkar"/>
  </r>
  <r>
    <n v="77"/>
    <x v="1"/>
    <n v="1201"/>
    <d v="2022-04-16T00:00:00"/>
    <x v="10"/>
    <s v="4812/0115-2168(2058)"/>
    <s v=""/>
    <s v="SLAVE-260"/>
    <s v="CCID-275"/>
    <s v="5µm"/>
    <s v="New Port,New Port"/>
    <s v="Vishal.B"/>
    <s v=", VSR &amp; Simulation, BEC, Uncoated CCD, M3 alkar"/>
  </r>
  <r>
    <n v="76"/>
    <x v="1"/>
    <n v="1200"/>
    <d v="2022-04-15T00:00:00"/>
    <x v="11"/>
    <s v="4812/0115-2167(2057)"/>
    <s v=""/>
    <s v="SLAVE-259"/>
    <s v="CCID-274"/>
    <s v="5µm"/>
    <s v="New Port,New Port"/>
    <s v="Vishal.B"/>
    <s v=", VSR &amp; Simulation, BEC, Uncoated CCD,"/>
  </r>
  <r>
    <n v="75"/>
    <x v="1"/>
    <n v="1199"/>
    <d v="2022-03-13T00:00:00"/>
    <x v="12"/>
    <s v="4812/0115-2166(2056)"/>
    <m/>
    <s v="SLAVE-250"/>
    <s v="CCID-108"/>
    <s v="5µm"/>
    <s v="New Port,"/>
    <s v="Ajay.P"/>
    <s v=", VSR &amp; Simulation, BEC, Uncoated CCD,"/>
  </r>
  <r>
    <n v="74"/>
    <x v="1"/>
    <n v="1195"/>
    <d v="2022-03-23T00:00:00"/>
    <x v="13"/>
    <s v="4812/0115-2165(2055)"/>
    <m/>
    <s v="SLAVE-249"/>
    <s v="CCID-271"/>
    <s v="5µm"/>
    <s v="New Port,"/>
    <s v="Ajay.P"/>
    <s v=", VSR &amp; Simulation, BEC, Uncoated CCD,"/>
  </r>
  <r>
    <n v="73"/>
    <x v="0"/>
    <n v="200"/>
    <d v="2022-03-30T00:00:00"/>
    <x v="14"/>
    <s v="4812/0115-2163(2053)"/>
    <s v="4812/0115-2164(2054)"/>
    <s v="DAQ-837v2.02,F/W-1.07"/>
    <s v="DAQ-831v2.02,F/W-1.07"/>
    <s v="10µm"/>
    <s v="P------,New Port"/>
    <s v="Tamoghna"/>
    <s v="New UV Optic Align, final by R&amp;D, Single slit holder"/>
  </r>
  <r>
    <n v="72"/>
    <x v="1"/>
    <n v="1198"/>
    <d v="2022-03-25T00:00:00"/>
    <x v="15"/>
    <s v="4812/0115-2162(2052)"/>
    <s v=""/>
    <s v="SLAVE-248"/>
    <s v="CCID-149"/>
    <s v="5µm"/>
    <s v="New Port,"/>
    <s v="Vishal.B"/>
    <s v=", VSR &amp; Simulation, BEC, Uncoated CCD,"/>
  </r>
  <r>
    <n v="71"/>
    <x v="1"/>
    <n v="1196"/>
    <d v="2022-03-25T00:00:00"/>
    <x v="15"/>
    <s v="4812/0115-2161(2051)"/>
    <s v=""/>
    <s v="SLAVE-255"/>
    <s v="CCID-272"/>
    <s v="5µm"/>
    <s v="New Port,"/>
    <s v="Vishal.B"/>
    <s v=", VSR &amp; Simulation, BEC, Uncoated CCD,"/>
  </r>
  <r>
    <n v="70"/>
    <x v="1"/>
    <n v="1197"/>
    <d v="2022-03-25T00:00:00"/>
    <x v="15"/>
    <s v="4812/0115-2160(2050)"/>
    <s v=""/>
    <s v="SLAVE-241"/>
    <s v="CCID-20"/>
    <s v="5µm"/>
    <s v="New Port,"/>
    <s v="Ajay.P"/>
    <s v=", VSR &amp; Simulation, BEC, Uncoated CCD,"/>
  </r>
  <r>
    <n v="69"/>
    <x v="1"/>
    <n v="1194"/>
    <d v="2022-03-17T00:00:00"/>
    <x v="16"/>
    <s v="4812/0115-2159(2049)"/>
    <s v=""/>
    <s v="SLAVE-101"/>
    <s v="CCID-270"/>
    <s v="5µm"/>
    <s v="New Port"/>
    <s v="Ajay.P"/>
    <s v=", VSR &amp; Simulation, BEC, Uncoated CCD,"/>
  </r>
  <r>
    <n v="68"/>
    <x v="0"/>
    <n v="219"/>
    <d v="2022-03-17T00:00:00"/>
    <x v="17"/>
    <s v="4812/0115-2157(2047)"/>
    <s v="4812/0115-2158(2048)"/>
    <s v="DAQ-849 v2.0,F/W-1.07"/>
    <s v="DAQ-842 v2.0,F/W-1.07"/>
    <s v="10µm"/>
    <s v="P129352,New Port"/>
    <s v="Sameer.L"/>
    <s v=", VSR &amp; Simulation, Uncoated CCD, Single Slit Mount, Arldite Used,visible cap modification, 7 µm slit used"/>
  </r>
  <r>
    <n v="67"/>
    <x v="0"/>
    <s v="100 CR"/>
    <d v="2022-03-15T00:00:00"/>
    <x v="18"/>
    <s v="4812/0115-2155(2045)"/>
    <s v="4812/0115-2156(2046)"/>
    <s v="DAQ-405 v2.0,F/W-1.07"/>
    <s v="DAQ-397 v2.0,F/W-1.07"/>
    <s v="10µm"/>
    <s v=",New Port"/>
    <s v="Sameer.L"/>
    <s v="Customer Return, VSR &amp; Simulation, Uncoated CCD, Single Slit Mount, Arldite Used,Visible region realignment "/>
  </r>
  <r>
    <n v="66"/>
    <x v="2"/>
    <s v="336 CR"/>
    <d v="2022-03-14T00:00:00"/>
    <x v="19"/>
    <s v="4812/0115-2154(2044)"/>
    <s v=""/>
    <s v="DAQ-444v2.0,F/W-1.06"/>
    <s v="DAQ-v2.0,F/W-1.06"/>
    <s v="5µm"/>
    <s v="New Port,New Port"/>
    <s v="Vishal.B"/>
    <s v="Customer Return, VSR &amp; Simulation, Uncoated CCD,Realignment has done by replacing all compnent"/>
  </r>
  <r>
    <n v="65"/>
    <x v="1"/>
    <n v="1189"/>
    <d v="2022-03-09T00:00:00"/>
    <x v="20"/>
    <s v="4812/0115-2153(2043)"/>
    <s v=""/>
    <s v="SLAVE-264"/>
    <s v="CCID-269"/>
    <s v="5µm"/>
    <s v="New Port,New Port"/>
    <s v="Vishal.B"/>
    <s v=", VSR &amp; Simulation, Uncoated CCD, "/>
  </r>
  <r>
    <n v="64"/>
    <x v="0"/>
    <n v="213"/>
    <d v="2022-03-10T00:00:00"/>
    <x v="21"/>
    <s v="4812/0115-2151(2041)"/>
    <s v="4812/0115-2152(2042)"/>
    <s v="DAQ-832 v2.0,F/W-1.07"/>
    <s v="DAQ-834 v2.0,F/W-1.07"/>
    <s v="10µm"/>
    <s v="P129350,New Port"/>
    <s v="Sameer.L"/>
    <s v=", VSR &amp; Simulation, Uncoated CCD, Single Slit Mount, Arldite Used,"/>
  </r>
  <r>
    <n v="63"/>
    <x v="1"/>
    <n v="1193"/>
    <d v="2022-03-15T00:00:00"/>
    <x v="21"/>
    <s v="4812/0115-2150(2040)"/>
    <s v=""/>
    <s v="SLAVE-259"/>
    <s v="CCID-253"/>
    <s v="5µm"/>
    <s v="New Port,New Port"/>
    <s v="Ajay.P"/>
    <s v=", VSR &amp; Simulation, Uncoated CCD, ,BEC"/>
  </r>
  <r>
    <n v="62"/>
    <x v="1"/>
    <n v="1192"/>
    <d v="2022-03-14T00:00:00"/>
    <x v="22"/>
    <s v="4812/0115-2149(2039)"/>
    <s v=""/>
    <s v="SLAVE-252"/>
    <s v="CCID-245"/>
    <s v="5µm"/>
    <s v="New Port,New Port"/>
    <s v="Ajay.P"/>
    <s v=", VSR &amp; Simulation, Uncoated CCD,BEC"/>
  </r>
  <r>
    <n v="61"/>
    <x v="1"/>
    <n v="1191"/>
    <d v="2022-03-12T00:00:00"/>
    <x v="23"/>
    <s v="4812/0115-2148(2038)"/>
    <s v=""/>
    <s v="SLAVE-257"/>
    <s v="CCID-249"/>
    <s v="5µm"/>
    <s v="New Port,New Port"/>
    <s v="Ajay.P"/>
    <s v=", VSR &amp; Simulation, Uncoated CCD,BEC"/>
  </r>
  <r>
    <n v="60"/>
    <x v="1"/>
    <n v="1190"/>
    <d v="2022-03-10T00:00:00"/>
    <x v="24"/>
    <s v="4812/0115-2147(2037)"/>
    <s v=""/>
    <s v="SLAVE-250"/>
    <s v="CCID-248"/>
    <s v="5µm"/>
    <s v="New Port,New Port"/>
    <s v="Ajay.P"/>
    <s v=", VSR &amp; Simulation, Uncoated CCD,BEC"/>
  </r>
  <r>
    <n v="59"/>
    <x v="0"/>
    <n v="218"/>
    <d v="2022-03-09T00:00:00"/>
    <x v="25"/>
    <s v="4812/0115-2145(2035)"/>
    <s v="4812/0115-2146(2036)"/>
    <s v="DAQ-836 v2.0,F/W-1.07"/>
    <s v="DAQ-840 v2.0,F/W-1.07"/>
    <s v="10µm"/>
    <s v="P129356,New Port"/>
    <s v="Sameer.L"/>
    <s v=", VSR &amp; Simulation, Uncoated CCD, Single Slit Mount, Arldite Used,Visible cap mod"/>
  </r>
  <r>
    <n v="58"/>
    <x v="0"/>
    <n v="217"/>
    <d v="2022-03-09T00:00:00"/>
    <x v="25"/>
    <s v="4812/0115-2143(2033)"/>
    <s v="4812/0115-2144(2034)"/>
    <s v="DAQ-835 v2.0,F/W-1.07"/>
    <s v="DAQ-833 v2.0,F/W-1.07"/>
    <s v="10µm"/>
    <s v="P129354,New Port"/>
    <s v="Sameer.L"/>
    <s v=", VSR &amp; Simulation, Uncoated CCD, Single Slit Mount, Arldite Used,Visible cap mod"/>
  </r>
  <r>
    <n v="57"/>
    <x v="1"/>
    <n v="1188"/>
    <d v="2022-03-09T00:00:00"/>
    <x v="20"/>
    <s v="4812/0115-2142(2032)"/>
    <s v=""/>
    <s v="SLAVE-146"/>
    <s v="CCID-251"/>
    <s v="5µm"/>
    <s v="New Port,New Port"/>
    <s v="Ajay.P"/>
    <s v=", VSR &amp; Simulation, Uncoated CCD, Single Slit Mount,"/>
  </r>
  <r>
    <n v="56"/>
    <x v="1"/>
    <n v="1187"/>
    <d v="2022-03-08T00:00:00"/>
    <x v="26"/>
    <s v="4812/0115-2141(2031)"/>
    <s v=""/>
    <s v="SLAVE-258"/>
    <s v="CCID-252"/>
    <s v="5µm"/>
    <s v="New Port,New Port"/>
    <s v="Ajay.P"/>
    <s v=", VSR &amp; Simulation, Uncoated CCD, Single Slit Mount,"/>
  </r>
  <r>
    <n v="55"/>
    <x v="1"/>
    <n v="1186"/>
    <d v="2022-03-07T00:00:00"/>
    <x v="27"/>
    <s v="4812/0115-2140(2030)"/>
    <s v=""/>
    <s v="SLAVE-192"/>
    <s v="CCID-246"/>
    <s v="5µm"/>
    <s v="New Port,New Port"/>
    <s v="Ajay.P"/>
    <s v=", VSR &amp; Simulation, Uncoated CCD, Single Slit Mount, "/>
  </r>
  <r>
    <n v="54"/>
    <x v="0"/>
    <n v="216"/>
    <d v="2022-03-06T00:00:00"/>
    <x v="27"/>
    <s v="4812/0115-2138(2028)"/>
    <s v="4812/0115-2139(2029)"/>
    <s v="DAQ-229 v2.0,F/W-1.07"/>
    <s v="DAQ-237 v2.0,F/W-1.07"/>
    <s v="10µm"/>
    <s v="P129351,New Port"/>
    <s v="Sameer.L"/>
    <s v=", VSR &amp; Simulation, Uncoated CCD, Single Slit Mount, Arldite Used,visible cap mod,dual channel DAQ card"/>
  </r>
  <r>
    <n v="53"/>
    <x v="0"/>
    <n v="215"/>
    <d v="2022-03-01T00:00:00"/>
    <x v="28"/>
    <s v="4812/0115-2136(2026)"/>
    <s v="4812/0115-2137(2027)"/>
    <s v="DAQ-228 v2.0,F/W-1.07"/>
    <s v="DAQ-231 v2.0,F/W-1.07"/>
    <s v="10µm"/>
    <s v="P129353,New Port"/>
    <s v="Sameer.L"/>
    <s v=", VSR &amp; Simulation, BEC, Uncoated CCD, Single Slit Mount, Arldite Used,visible cap modification,dual channel  DAQ card"/>
  </r>
  <r>
    <n v="52"/>
    <x v="0"/>
    <n v="214"/>
    <d v="2022-02-28T00:00:00"/>
    <x v="29"/>
    <s v="4812/0115-2134(2024)"/>
    <s v="4812/0115-2135(2025)"/>
    <s v="DAQ-235 v2.0,F/W-1.07"/>
    <s v="DAQ-239 v2.0,F/W-1.07"/>
    <s v="10µm"/>
    <s v=",New Port"/>
    <s v="Sameer.L"/>
    <s v=", VSR &amp; Simulation, BEC, Uncoated CCD, Single Slit Mount, Arldite Used,Visible cap mod,dual channel DAQ card"/>
  </r>
  <r>
    <n v="51"/>
    <x v="1"/>
    <n v="1184"/>
    <d v="2022-03-01T00:00:00"/>
    <x v="30"/>
    <s v="4812/0115-2133(2023)"/>
    <s v=""/>
    <s v="SLAVE-265"/>
    <s v="CCID-244"/>
    <s v="5µm"/>
    <s v="New Port,New Port"/>
    <s v="Ajay.P"/>
    <s v=", VSR &amp; Simulation, BEC, Uncoated CCD,Alkar mirror"/>
  </r>
  <r>
    <n v="50"/>
    <x v="1"/>
    <n v="1175"/>
    <d v="2022-02-16T00:00:00"/>
    <x v="31"/>
    <s v="4812/0115-2132(2022)"/>
    <s v=""/>
    <s v="SLAVE-67"/>
    <s v="CCID-261"/>
    <s v="5µm"/>
    <s v="New Port,New Port"/>
    <s v="Ajay.P"/>
    <s v=", VSR &amp; Simulation, BEC, Uncoated CCD,anneling"/>
  </r>
  <r>
    <n v="49"/>
    <x v="1"/>
    <n v="1185"/>
    <d v="2022-02-26T00:00:00"/>
    <x v="32"/>
    <s v="4812/0115-2131(2021)"/>
    <s v=""/>
    <s v="SLAVE-262"/>
    <s v="CCID-247"/>
    <s v="5µm"/>
    <s v="New Port,New Port"/>
    <s v="Ajay.P"/>
    <s v=", VSR &amp; Simulation, BEC, Uncoated CCD, Arldite Used,Alkar mirror"/>
  </r>
  <r>
    <n v="48"/>
    <x v="1"/>
    <n v="1183"/>
    <d v="2022-02-23T00:00:00"/>
    <x v="33"/>
    <s v="4812/0115-2130(2020)"/>
    <s v=""/>
    <s v="SLAVE-229"/>
    <s v="CCID-267"/>
    <s v="5µm"/>
    <s v="New Port,New Port"/>
    <s v="Ajay.P"/>
    <s v=", VSR &amp; Simulation, BEC, Uncoated CCD, Arldite Used,Alkar mirror"/>
  </r>
  <r>
    <n v="47"/>
    <x v="1"/>
    <n v="1182"/>
    <d v="2022-02-22T00:00:00"/>
    <x v="34"/>
    <s v="4812/0115-2129(2019)"/>
    <s v=""/>
    <s v="SLAVE-242"/>
    <s v="CCID-266"/>
    <s v="5µm"/>
    <s v="New Port,New Port"/>
    <s v="Ajay.P"/>
    <s v=", VSR &amp; Simulation, BEC, Uncoated CCD, Arldite Used,Alkar mirror"/>
  </r>
  <r>
    <n v="46"/>
    <x v="1"/>
    <n v="1180"/>
    <d v="2022-02-25T00:00:00"/>
    <x v="35"/>
    <s v="4812/0115-2128(2018)"/>
    <s v=""/>
    <s v="SLAVE-246"/>
    <s v="CCID-256"/>
    <s v="5µm"/>
    <s v="New Port,New Port"/>
    <s v="Ajay.P"/>
    <s v=", VSR &amp; Simulation, BEC, Uncoated CCD, Arldite Used,ICL Logic, Alkar"/>
  </r>
  <r>
    <n v="45"/>
    <x v="1"/>
    <n v="1181"/>
    <d v="2022-02-21T00:00:00"/>
    <x v="36"/>
    <s v="4812/0115-2127(2017)"/>
    <s v=""/>
    <s v="SLAVE-240"/>
    <s v="CCID-265"/>
    <s v="5µm"/>
    <s v="New Port,New Port"/>
    <s v="Ajay.P"/>
    <s v=", VSR &amp; Simulation, BEC, Uncoated CCD, Arldite Used,Alkar mirror"/>
  </r>
  <r>
    <n v="44"/>
    <x v="0"/>
    <n v="212"/>
    <d v="2022-02-24T00:00:00"/>
    <x v="32"/>
    <s v="4812/0115-2125(2015)"/>
    <s v="4812/0115-2126(2016)"/>
    <s v="DAQ-215 v2.0,F/W-1.07"/>
    <s v="DAQ-221 v2.0,F/W-1.07"/>
    <s v="10µm"/>
    <s v="P129347,New Port"/>
    <s v="Sameer.L"/>
    <s v=", VSR &amp; Simulation, BEC, Uncoated CCD, Single Slit Mount, Arldite Used,visible cap mod,daul channel DAQ,COPS"/>
  </r>
  <r>
    <n v="43"/>
    <x v="0"/>
    <n v="211"/>
    <d v="2022-02-23T00:00:00"/>
    <x v="32"/>
    <s v="4812/0115-2123(2013)"/>
    <s v="4812/0115-2124(2014)"/>
    <s v="DAQ-722 v2.0,F/W-1.07"/>
    <s v="DAQ-700 v2.0,F/W-1.07"/>
    <s v="10µm"/>
    <s v="P129348,New Port"/>
    <s v="Sameer.L"/>
    <s v=", VSR &amp; Simulation, BEC, Uncoated CCD, Single Slit Mount, Arldite Used,visible cap mod"/>
  </r>
  <r>
    <n v="42"/>
    <x v="1"/>
    <n v="1179"/>
    <d v="2022-02-18T00:00:00"/>
    <x v="37"/>
    <s v="4812/0115-2122(2012)"/>
    <s v=""/>
    <s v="SLAVE-91"/>
    <s v="CCID-207"/>
    <s v="5µm"/>
    <s v="New Port,New Port"/>
    <s v="Ajay.P"/>
    <s v=", VSR &amp; Simulation, BEC, Uncoated CCD,"/>
  </r>
  <r>
    <n v="41"/>
    <x v="0"/>
    <n v="210"/>
    <d v="2022-02-16T00:00:00"/>
    <x v="36"/>
    <s v="4812/0115-2120(2010)"/>
    <s v="4812/0115-2121(2011)"/>
    <s v="DAQ-676 v2.0,F/W-1.07"/>
    <s v="DAQ-717 v2.0,F/W-1.07"/>
    <s v="10µm"/>
    <s v="New Port"/>
    <s v="Sameer.L"/>
    <s v=", VSR &amp; Simulation, BEC, Uncoated CCD, Single Slit Mount, Arldite Used,"/>
  </r>
  <r>
    <n v="40"/>
    <x v="1"/>
    <n v="1178"/>
    <d v="2022-02-16T00:00:00"/>
    <x v="38"/>
    <s v="4812/0115-2119(2009)"/>
    <s v=""/>
    <s v="SLAVE-236"/>
    <s v="CCID-258"/>
    <s v="5µm"/>
    <s v="New Port,New Port"/>
    <s v="Vishal.B"/>
    <s v=", VSR &amp; Simulation, BEC, Uncoated CCD,"/>
  </r>
  <r>
    <n v="39"/>
    <x v="1"/>
    <n v="1177"/>
    <d v="2022-02-15T00:00:00"/>
    <x v="39"/>
    <s v="4812/0115-2118(2008)"/>
    <s v=""/>
    <s v="SLAVE-239"/>
    <s v="CCID-262"/>
    <s v="5µm"/>
    <s v="New Port,New Port"/>
    <s v="Vishal.B"/>
    <s v=", VSR &amp; Simulation, BEC, Uncoated CCD,"/>
  </r>
  <r>
    <n v="38"/>
    <x v="0"/>
    <n v="209"/>
    <d v="2022-02-14T00:00:00"/>
    <x v="38"/>
    <s v="4812/0115-2116(2006)"/>
    <s v="4812/0115-2117(2007)"/>
    <s v="DAQ-705 v2.0,F/W-1.07"/>
    <s v="DAQ-697 v2.0,F/W-1.07"/>
    <s v="10µm"/>
    <s v="P129357,New Port"/>
    <s v="Sameer.L"/>
    <s v=", VSR &amp; Simulation, Uncoated CCD, Single Slit Mount, Arldite Used,Visible cap mod"/>
  </r>
  <r>
    <n v="37"/>
    <x v="1"/>
    <n v="1176"/>
    <d v="2022-02-12T00:00:00"/>
    <x v="40"/>
    <s v="4812/0115-2115(2005)"/>
    <s v=""/>
    <s v="SLAVE-245"/>
    <s v="CCID-236"/>
    <s v="5µm"/>
    <s v="New Port,New Port"/>
    <s v="Vishal.B"/>
    <s v=", VSR &amp; Simulation, BEC, Uncoated CCD,"/>
  </r>
  <r>
    <n v="36"/>
    <x v="1"/>
    <n v="1174"/>
    <d v="2022-02-10T00:00:00"/>
    <x v="41"/>
    <s v="4812/0115-2114(2004)"/>
    <s v=""/>
    <s v="SLAVE-213"/>
    <s v="CCID-240"/>
    <s v="5µm"/>
    <s v="New Port,New Port"/>
    <s v="Ajay.P"/>
    <s v=", VSR &amp; Simulation, BEC, Uncoated CCD, ALKAR MIRROR"/>
  </r>
  <r>
    <n v="35"/>
    <x v="1"/>
    <n v="1173"/>
    <d v="2022-02-09T00:00:00"/>
    <x v="42"/>
    <s v="4812/0115-2113(2003)"/>
    <s v=""/>
    <s v="SLAVE-232"/>
    <s v="CCID-259"/>
    <s v="5µm"/>
    <s v="New Port,New Port"/>
    <s v="Ajay.P"/>
    <s v=", VSR &amp; Simulation, BEC, Uncoated CCD,"/>
  </r>
  <r>
    <n v="34"/>
    <x v="1"/>
    <n v="1172"/>
    <d v="2022-02-09T00:00:00"/>
    <x v="42"/>
    <s v="4812/0115-2112(2002)"/>
    <s v=""/>
    <s v="SLAVE-244"/>
    <s v="CCID-254"/>
    <s v="5µm"/>
    <s v="New Port,New Port"/>
    <s v="Ajay.P"/>
    <s v=", VSR &amp; Simulation, BEC, Uncoated CCD,"/>
  </r>
  <r>
    <n v="33"/>
    <x v="1"/>
    <n v="1171"/>
    <d v="2022-02-08T00:00:00"/>
    <x v="43"/>
    <s v="4812/0115-2111(2001)"/>
    <s v=""/>
    <s v="SLAVE-235"/>
    <s v="CCID-260"/>
    <s v="5µm"/>
    <s v="New Port,New Port"/>
    <s v="Vishal.B"/>
    <s v=", VSR &amp; Simulation, BEC, Uncoated CCD,"/>
  </r>
  <r>
    <n v="32"/>
    <x v="1"/>
    <n v="1167"/>
    <d v="2022-02-02T00:00:00"/>
    <x v="44"/>
    <s v="4812/0115-2110(2000)"/>
    <s v=""/>
    <s v="SLAVE-233"/>
    <s v="CCID-235"/>
    <s v="5µm"/>
    <s v="New Port,New Port"/>
    <s v="Vishal.B"/>
    <s v=", VSR &amp; Simulation, BEC, Uncoated CCD,"/>
  </r>
  <r>
    <n v="31"/>
    <x v="1"/>
    <n v="1169"/>
    <d v="2022-02-06T00:00:00"/>
    <x v="45"/>
    <s v="4812/0115-2109(1999)"/>
    <s v=""/>
    <s v="SLAVE-221"/>
    <s v="CCID-255"/>
    <s v="5µm"/>
    <s v="New Port,New Port"/>
    <s v="Vishal.B"/>
    <s v=", VSR &amp; Simulation, BEC, Uncoated CCD, Arldite Used,"/>
  </r>
  <r>
    <n v="30"/>
    <x v="0"/>
    <n v="209"/>
    <d v="2022-02-04T00:00:00"/>
    <x v="43"/>
    <s v="4812/0115-2107(1997)"/>
    <s v="4812/0115-2108(1998)"/>
    <s v="DAQ-728 v2.0,F/W-1.07"/>
    <s v="DAQ-669 v2.0,F/W-1.07"/>
    <s v="10µm"/>
    <s v="P128703,New Port"/>
    <s v="Sameer.L"/>
    <s v=", VSR &amp; Simulation, Uncoated CCD, Single Slit Mount, Arldite Used,Visible cap modification, COPS"/>
  </r>
  <r>
    <n v="29"/>
    <x v="1"/>
    <n v="1170"/>
    <d v="2022-02-06T00:00:00"/>
    <x v="45"/>
    <s v="4812/0115-2106(1996)"/>
    <s v=""/>
    <s v="SLAVE-224"/>
    <s v="CCID-257"/>
    <s v="5µm"/>
    <s v="New Port,New Port"/>
    <s v="Ajay.P"/>
    <s v=", VSR &amp; Simulation, BEC, Uncoated CCD, Single Slit Mount, Arldite Used,"/>
  </r>
  <r>
    <n v="28"/>
    <x v="1"/>
    <n v="1168"/>
    <d v="2022-02-05T00:00:00"/>
    <x v="46"/>
    <s v="4812/0115-2105(1995)"/>
    <s v=""/>
    <s v="SLAVE-195"/>
    <s v="CCID-263"/>
    <s v="5µm"/>
    <s v="New Port,New Port"/>
    <s v="Ajay.P"/>
    <s v=", VSR &amp; Simulation, BEC, Uncoated CCD,"/>
  </r>
  <r>
    <n v="27"/>
    <x v="2"/>
    <n v="378"/>
    <d v="2022-02-04T00:00:00"/>
    <x v="28"/>
    <s v="4812/0115-2104(1994)"/>
    <s v=""/>
    <s v="DAQ-400v2.0,F/W-1.06"/>
    <s v="DAQ-v2.0,F/W-1.06"/>
    <s v="5µm"/>
    <s v="New Port,New Port"/>
    <s v="Deepak.M"/>
    <s v="Customer Return, VSR &amp; Simulation, Uncoated CCD,GRATING,M3,SLIT"/>
  </r>
  <r>
    <n v="26"/>
    <x v="0"/>
    <n v="207"/>
    <d v="2022-02-01T00:00:00"/>
    <x v="47"/>
    <s v="4812/0115-2102(1992)"/>
    <s v="4812/0115-2103(1993)"/>
    <s v="DAQ- v2.0,F/W-1.07"/>
    <s v="DAQ- v2.0,F/W-1.07"/>
    <s v="10µm"/>
    <s v="P128694,New Port"/>
    <s v="Sameer.L"/>
    <s v=", VSR &amp; Simulation, BEC, Uncoated CCD, Single Slit Mount, Arldite Used,COPS,Visible cap modification"/>
  </r>
  <r>
    <n v="25"/>
    <x v="1"/>
    <n v="1166"/>
    <d v="2022-02-02T00:00:00"/>
    <x v="48"/>
    <s v="4812/0115-2101(1991)"/>
    <s v=""/>
    <s v="SLAVE-230"/>
    <s v="CCID-238"/>
    <s v="5µm"/>
    <s v="New Port,New Port"/>
    <s v="Vishal.B"/>
    <s v=", VSR &amp; Simulation, BEC, Uncoated CCD, Single Slit Mount, Arldite Used,"/>
  </r>
  <r>
    <n v="24"/>
    <x v="1"/>
    <n v="1165"/>
    <d v="2022-01-30T00:00:00"/>
    <x v="49"/>
    <s v="4812/0115-2100(1990)"/>
    <s v=""/>
    <s v="SLAVE-223"/>
    <s v="CCID-233"/>
    <s v="5µm"/>
    <s v="New Port,New Port"/>
    <s v="Vishal.B"/>
    <s v=", VSR &amp; Simulation, BEC, Uncoated CCD, Single Slit Mount, Arldite Used,"/>
  </r>
  <r>
    <n v="23"/>
    <x v="1"/>
    <n v="1164"/>
    <d v="2022-01-30T00:00:00"/>
    <x v="49"/>
    <s v="4812/0115-2099(1989)"/>
    <s v=""/>
    <s v="SLAVE-227"/>
    <s v="CCID-223"/>
    <s v="5µm"/>
    <s v="New Port,New Port"/>
    <s v="Vishal.B"/>
    <s v=", VSR &amp; Simulation, BEC, Uncoated CCD, Single Slit Mount, Arldite Used,"/>
  </r>
  <r>
    <n v="22"/>
    <x v="1"/>
    <n v="1163"/>
    <d v="2022-01-28T00:00:00"/>
    <x v="50"/>
    <s v="4812/0115-2098(1988)"/>
    <s v=""/>
    <s v="SLAVE-234"/>
    <s v="CCID-226"/>
    <s v="5µm"/>
    <s v="New Port,New Port"/>
    <s v="Vishal.B"/>
    <s v=", VSR &amp; Simulation, BEC, Uncoated CCD, Single Slit Mount, Arldite Used,"/>
  </r>
  <r>
    <n v="21"/>
    <x v="0"/>
    <n v="206"/>
    <d v="2022-01-31T00:00:00"/>
    <x v="48"/>
    <s v="4812/0115-2096(1986)"/>
    <s v="4812/0115-2097(1987)"/>
    <s v="DAQ-741 v2.0,F/W-1.07"/>
    <s v="DAQ-713 v2.0,F/W-1.07"/>
    <s v="10µm"/>
    <s v="P128734,New Port"/>
    <s v="Sameer.L"/>
    <s v=", VSR &amp; Simulation, Uncoated CCD, Single Slit Mount, Arldite Used,visible cap mod,COPS"/>
  </r>
  <r>
    <n v="20"/>
    <x v="2"/>
    <n v="169"/>
    <d v="2022-02-01T00:00:00"/>
    <x v="51"/>
    <s v="4812/0115-2095(1985)"/>
    <s v=""/>
    <s v="DAQ-189v2.0,F/W-1.06"/>
    <s v="DAQ-v2.0,F/W-1.06"/>
    <s v="5µm"/>
    <s v="New Port,New Port"/>
    <s v="Vishal.B"/>
    <s v="Customer Return, VSR &amp; Simulation, Uncoated CCD,"/>
  </r>
  <r>
    <n v="19"/>
    <x v="3"/>
    <n v="859"/>
    <d v="2022-01-30T00:00:00"/>
    <x v="52"/>
    <s v="4812/0115-2094(1984)"/>
    <s v=""/>
    <s v="SLAVE-KHS"/>
    <s v="CCID-"/>
    <s v="7µm"/>
    <s v="New Port,New Port"/>
    <s v="Vishal.B"/>
    <s v="Customer Return, Uncoated CCD,GRATING,SLIT, CCD REALIGENED"/>
  </r>
  <r>
    <n v="18"/>
    <x v="0"/>
    <n v="205"/>
    <d v="2022-01-25T00:00:00"/>
    <x v="50"/>
    <s v="4812/0115-2092(1982)"/>
    <s v="4812/0115-2093(1983)"/>
    <s v="DAQ-736 v2.0,F/W-1.07"/>
    <s v="DAQ-708 v2.0,F/W-1.07"/>
    <s v="10µm"/>
    <s v=",New Port"/>
    <s v="Sameer.L"/>
    <s v=", VSR &amp; Simulation, BEC, Uncoated CCD, Single Slit Mount, Arldite Used,visble cap mod, COPS"/>
  </r>
  <r>
    <n v="17"/>
    <x v="1"/>
    <n v="1162"/>
    <d v="2022-01-27T00:00:00"/>
    <x v="53"/>
    <s v="4812/0115-2091(1981)"/>
    <s v=""/>
    <s v="SLAVE-230"/>
    <s v="CCID-224"/>
    <s v="5µm"/>
    <s v="New Port,New Port"/>
    <s v="Deepak.M"/>
    <s v=", VSR &amp; Simulation, BEC, Uncoated CCD, Single Slit Mount, Arldite Used,"/>
  </r>
  <r>
    <n v="16"/>
    <x v="1"/>
    <n v="1161"/>
    <d v="2022-01-25T00:00:00"/>
    <x v="54"/>
    <s v="4812/0115-2090(1980)"/>
    <s v=""/>
    <s v="SLAVE-228"/>
    <s v="CCID-241"/>
    <s v="5µm"/>
    <s v="New Port,New Port"/>
    <s v="Deepak.M"/>
    <s v=", VSR &amp; Simulation, BEC, Uncoated CCD, Single Slit Mount, Arldite Used,"/>
  </r>
  <r>
    <n v="15"/>
    <x v="0"/>
    <n v="198"/>
    <d v="2022-01-16T00:00:00"/>
    <x v="55"/>
    <s v="4812/0115-2088(1978)"/>
    <s v="4812/0115-2089(1979)"/>
    <s v="DAQ-675 v2.0,F/W-1.07"/>
    <s v="DAQ-673 v2.0,F/W-1.07"/>
    <s v="10µm"/>
    <s v=",New Port"/>
    <s v="Sameer.L"/>
    <s v=", VSR &amp; Simulation, BEC, Uncoated CCD, Single Slit Mount, Arldite Used,REALIGNMENT DONE(VISIBLE PPS)"/>
  </r>
  <r>
    <n v="14"/>
    <x v="1"/>
    <n v="1160"/>
    <d v="2022-01-20T00:00:00"/>
    <x v="55"/>
    <s v="4812/0115-2087(1977)"/>
    <s v=""/>
    <s v="SLAVE-226"/>
    <s v="CCID-219"/>
    <s v="5µm"/>
    <s v="New Port,New Port"/>
    <s v="Vishal.B"/>
    <s v=", VSR &amp; Simulation, BEC, Uncoated CCD, Arldite Used,"/>
  </r>
  <r>
    <n v="13"/>
    <x v="1"/>
    <n v="1159"/>
    <d v="2022-01-18T00:00:00"/>
    <x v="56"/>
    <s v="4812/0115-2086(1976)"/>
    <s v=""/>
    <s v="SLAVE-222"/>
    <s v="CCID-215"/>
    <s v="5µm"/>
    <s v="New Port,New Port"/>
    <s v="Deepak.M"/>
    <s v=", VSR &amp; Simulation, BEC, Uncoated CCD, Arldite Used,"/>
  </r>
  <r>
    <n v="12"/>
    <x v="1"/>
    <n v="1158"/>
    <d v="2022-01-17T00:00:00"/>
    <x v="57"/>
    <s v="4812/0115-2085(1975)"/>
    <s v=""/>
    <s v="SLAVE-194"/>
    <s v="CCID-227"/>
    <s v="5µm"/>
    <s v="New Port,New Port"/>
    <s v="Vishal.B"/>
    <s v=", VSR &amp; Simulation, BEC, Uncoated CCD, Arldite Used,"/>
  </r>
  <r>
    <n v="11"/>
    <x v="1"/>
    <n v="1157"/>
    <d v="2022-01-15T00:00:00"/>
    <x v="58"/>
    <s v="4812/0115-2084(1974)"/>
    <s v=""/>
    <s v="SLAVE-196"/>
    <s v="CCID-243"/>
    <s v="5µm"/>
    <s v="New Port,New Port"/>
    <s v="Deepak.M"/>
    <s v=" VSR &amp; Simulation, BEC, Uncoated CCD, Arldite Used,"/>
  </r>
  <r>
    <n v="10"/>
    <x v="2"/>
    <n v="253"/>
    <d v="2022-01-18T00:00:00"/>
    <x v="56"/>
    <s v="4812/0115-2083(1973)"/>
    <s v=""/>
    <s v="DAQ-319v2.0,F/W-1.06"/>
    <s v="DAQ-v2.0,F/W-1.06"/>
    <s v="5µm"/>
    <s v="New Port,New Port"/>
    <s v="Vishal.B"/>
    <s v="Customer Return, VSR &amp; Simulation, Uncoated CCD,Grating replaced(ssi)"/>
  </r>
  <r>
    <n v="9"/>
    <x v="2"/>
    <n v="265"/>
    <d v="2022-01-16T00:00:00"/>
    <x v="57"/>
    <s v="4812/0115-2082(1972)"/>
    <s v=""/>
    <s v="DAQ-311v2.0,F/W-1.06"/>
    <s v="DAQ-v2.0,F/W-1.06"/>
    <s v="5µm"/>
    <s v="New Port,New Port"/>
    <s v="Deepak.M"/>
    <s v="Customer Return, VSR &amp; Simulation, Uncoated CCD, Arldite Used,Realignment done with new component"/>
  </r>
  <r>
    <n v="8"/>
    <x v="0"/>
    <n v="204"/>
    <d v="2022-01-13T00:00:00"/>
    <x v="57"/>
    <s v="4812/0115-2080(1970)"/>
    <s v="4812/0115-2081(1971)"/>
    <s v="DAQ-724 v2.0,F/W-1.07"/>
    <s v="DAQ-703 v2.0,F/W-1.07"/>
    <s v="10µm"/>
    <s v="P128822,New Port"/>
    <s v="Sameer.L"/>
    <s v=", VSR &amp; Simulation, Uncoated CCD, Single Slit Mount, Arldite Used,VISIBLE CAP MOD"/>
  </r>
  <r>
    <n v="7"/>
    <x v="0"/>
    <n v="203"/>
    <d v="2022-01-12T00:00:00"/>
    <x v="58"/>
    <s v="4812/0115-2078(1968)"/>
    <s v="4812/0115-2079(1969)"/>
    <s v="DAQ-716 v2.0,F/W-1.07"/>
    <s v="DAQ-682 v2.0,F/W-1.07"/>
    <s v="10µm"/>
    <s v="P128736,New Port"/>
    <s v="Sameer.L"/>
    <s v=", VSR &amp; Simulation, Uncoated CCD, Single Slit Mount, Arldite Used,"/>
  </r>
  <r>
    <n v="6"/>
    <x v="0"/>
    <n v="202"/>
    <d v="2022-01-10T00:00:00"/>
    <x v="59"/>
    <s v="4812/0115-2076(1966)"/>
    <s v="4812/0115-2077(1967)"/>
    <s v="DAQ-674 v2.0,F/W-1.07"/>
    <s v="DAQ-707 v2.0,F/W-1.07"/>
    <s v="10µm"/>
    <s v="P128821,New Port"/>
    <s v="Sameer.L"/>
    <s v=", VSR &amp; Simulation, Uncoated CCD, Single Slit Mount, Arldite Used"/>
  </r>
  <r>
    <n v="5"/>
    <x v="0"/>
    <n v="201"/>
    <d v="2022-01-10T00:00:00"/>
    <x v="59"/>
    <s v="4812/0115-2074(1964)"/>
    <s v="4812/0115-2075(1965)"/>
    <s v="DAQ-704 v2.0,F/W-1.07"/>
    <s v="DAQ-683 v2.0,F/W-1.07"/>
    <s v="10µm"/>
    <s v="P128739,New Port"/>
    <s v="Sameer.L"/>
    <s v=", VSR &amp; Simulation, Uncoated CCD, Single Slit Mount, Arldite Used,visible cap mod."/>
  </r>
  <r>
    <n v="4"/>
    <x v="1"/>
    <n v="1156"/>
    <d v="2022-01-06T00:00:00"/>
    <x v="60"/>
    <s v="4812/0115-2073(1963)"/>
    <s v=""/>
    <s v="SLAVE-200"/>
    <s v="CCID-217"/>
    <s v="5µm"/>
    <s v="New Port,New Port"/>
    <s v="Deepak.M"/>
    <s v=", VSR &amp; Simulation, BEC, Uncoated CCD,"/>
  </r>
  <r>
    <n v="3"/>
    <x v="0"/>
    <n v="200"/>
    <d v="2022-01-06T00:00:00"/>
    <x v="61"/>
    <s v="4812/0115-2071(1961)"/>
    <s v="4812/0115-2072(1962)"/>
    <s v="DAQ-668 v2.0,F/W-1.07"/>
    <s v="DAQ-718 v2.0,F/W-1.07"/>
    <s v="10µm"/>
    <s v="P128823,New Port"/>
    <s v="Sameer.L"/>
    <s v=", VSR &amp; Simulation, Uncoated CCD, Single Slit Mount, Arldite Used,visible cap mod."/>
  </r>
  <r>
    <n v="2"/>
    <x v="0"/>
    <n v="199"/>
    <d v="2022-01-03T00:00:00"/>
    <x v="62"/>
    <s v="4812/0115-2069(1959)"/>
    <s v="4812/0115-2070(1960)"/>
    <s v="DAQ-731 v2.0,F/W-1.07"/>
    <s v="DAQ-715 v2.0,F/W-1.07"/>
    <s v="10µm"/>
    <s v="P128785,New Port"/>
    <s v="Sameer.L"/>
    <s v=", VSR &amp; Simulation, Uncoated CCD, Single Slit Mount, Arldite Used,visible cap mod."/>
  </r>
  <r>
    <n v="1"/>
    <x v="0"/>
    <n v="197"/>
    <d v="2022-01-03T00:00:00"/>
    <x v="63"/>
    <s v="4812/0115-2067(1957)"/>
    <s v="4812/0115-2068(1958)"/>
    <s v="DAQ-797 v2.0,F/W-1.07"/>
    <s v="DAQ-710 v2.0,F/W-1.07"/>
    <s v="10µm"/>
    <s v="P128696,New Port"/>
    <s v="Sameer.L"/>
    <s v=", VSR &amp; Simulation, Uncoated CCD, Single Slit Mount, Arldite Used,Visible cap mod.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1A15AC3-808B-4AD6-A03E-06CA2623AD11}" name="PivotTable1" cacheId="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2">
  <location ref="A1:E8" firstHeaderRow="1" firstDataRow="2" firstDataCol="1"/>
  <pivotFields count="14">
    <pivotField showAll="0"/>
    <pivotField axis="axisCol" dataField="1" showAll="0">
      <items count="6">
        <item x="0"/>
        <item x="2"/>
        <item x="1"/>
        <item h="1" x="3"/>
        <item h="1" m="1" x="4"/>
        <item t="default"/>
      </items>
    </pivotField>
    <pivotField showAll="0"/>
    <pivotField numFmtId="164" showAll="0"/>
    <pivotField axis="axisRow" numFmtId="164" showAll="0">
      <items count="3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3"/>
    <field x="4"/>
  </rowFields>
  <rowItems count="6">
    <i>
      <x v="1"/>
    </i>
    <i>
      <x v="2"/>
    </i>
    <i>
      <x v="3"/>
    </i>
    <i>
      <x v="4"/>
    </i>
    <i>
      <x v="5"/>
    </i>
    <i t="grand">
      <x/>
    </i>
  </rowItems>
  <colFields count="1">
    <field x="1"/>
  </colFields>
  <colItems count="4">
    <i>
      <x/>
    </i>
    <i>
      <x v="1"/>
    </i>
    <i>
      <x v="2"/>
    </i>
    <i t="grand">
      <x/>
    </i>
  </colItems>
  <dataFields count="1">
    <dataField name="Count of Model" fld="1" subtotal="count" baseField="0" baseItem="0"/>
  </dataFields>
  <formats count="2">
    <format dxfId="12">
      <pivotArea type="all" dataOnly="0" outline="0" fieldPosition="0"/>
    </format>
    <format dxfId="11">
      <pivotArea type="all" dataOnly="0" outline="0" fieldPosition="0"/>
    </format>
  </formats>
  <chartFormats count="3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15F40AB-EBD5-4BB1-94B0-631DB533A330}" name="Table4" displayName="Table4" ref="A1:M89" totalsRowShown="0" headerRowDxfId="27" dataDxfId="26">
  <autoFilter ref="A1:M89" xr:uid="{F15F40AB-EBD5-4BB1-94B0-631DB533A330}"/>
  <tableColumns count="13">
    <tableColumn id="2" xr3:uid="{EB6786BF-4BC2-4BA8-979B-6B134AE30D13}" name="SrNo" dataDxfId="25"/>
    <tableColumn id="3" xr3:uid="{9E9A27AA-98E7-47DA-85CD-AE7C14ECF9DD}" name="Model" dataDxfId="24"/>
    <tableColumn id="4" xr3:uid="{F9534C85-F4B1-4CD2-9EB8-EAA88DA9DA7D}" name="Bench No" dataDxfId="23"/>
    <tableColumn id="5" xr3:uid="{147B2111-B035-4234-9291-BB7313CB466F}" name="Start Date" dataDxfId="22"/>
    <tableColumn id="6" xr3:uid="{39D06AE2-FACA-43A3-98FD-34C1461CB189}" name="End Date" dataDxfId="21"/>
    <tableColumn id="7" xr3:uid="{0F17E199-547A-4FB9-A875-31CE2AB729F6}" name="CCD 1" dataDxfId="20"/>
    <tableColumn id="8" xr3:uid="{6936DC24-188C-43E8-890F-40B6DD6ACA34}" name="CCD 2" dataDxfId="19"/>
    <tableColumn id="9" xr3:uid="{150FEEF8-86C2-4098-B780-4247CF2B66F5}" name="DAQ 1" dataDxfId="18"/>
    <tableColumn id="10" xr3:uid="{09F57E28-0E8F-4BD8-93A9-0222D58E7185}" name="DAQ 2" dataDxfId="17"/>
    <tableColumn id="11" xr3:uid="{5EAB13A8-690E-46C2-8E02-0629CA7D51AF}" name="Slit" dataDxfId="16"/>
    <tableColumn id="12" xr3:uid="{D23D574D-CD91-4964-BD77-276EEDE22196}" name="Grating" dataDxfId="15"/>
    <tableColumn id="13" xr3:uid="{B44957C7-2ED4-4B3C-9C67-0E3E83A75703}" name="Alignment Engineer" dataDxfId="14"/>
    <tableColumn id="14" xr3:uid="{0983249F-A8F4-48F2-A474-C8B9B0A89631}" name="Remark" dataDxfId="13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58AE570-9490-43AB-9FCD-4349A5843601}" name="Table6" displayName="Table6" ref="A20:F42" totalsRowShown="0" headerRowDxfId="10" dataDxfId="8" headerRowBorderDxfId="9" tableBorderDxfId="7" totalsRowBorderDxfId="6" headerRowCellStyle="60% - Accent5">
  <autoFilter ref="A20:F42" xr:uid="{C58AE570-9490-43AB-9FCD-4349A5843601}"/>
  <tableColumns count="6">
    <tableColumn id="1" xr3:uid="{A64BD6E8-CF06-429E-B91A-398C0D01C992}" name="Sr No" dataDxfId="5" dataCellStyle="Explanatory Text"/>
    <tableColumn id="2" xr3:uid="{A4916803-1905-49A5-9A6F-63FAA9B6D75A}" name="Component" dataDxfId="4" dataCellStyle="Output"/>
    <tableColumn id="3" xr3:uid="{AF47F596-9F7B-48DD-B4EB-DFF1BB4450CA}" name="Component in each unit" dataDxfId="3" dataCellStyle="Output"/>
    <tableColumn id="5" xr3:uid="{5B8AEF4A-2E05-472D-A240-7BF3F50A924C}" name="Fresh purchase" dataDxfId="2" dataCellStyle="60% - Accent3"/>
    <tableColumn id="6" xr3:uid="{EC573493-2F18-435D-AEC5-D19C0E02F8DB}" name="Rejected" dataDxfId="1" dataCellStyle="Accent2"/>
    <tableColumn id="8" xr3:uid="{0D5234B9-BAC4-4ED5-B441-6E739D529983}" name=" Inventory" dataDxfId="0">
      <calculatedColumnFormula>D21-E21-(GETPIVOTDATA("Model",$A$1,"Model","Moss V2")*C21)</calculatedColumnFormula>
    </tableColumn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F27555-AED5-4630-B8BF-A3C10B94341A}" name="Table1" displayName="Table1" ref="A1:B6" totalsRowShown="0" headerRowDxfId="61" dataDxfId="60">
  <autoFilter ref="A1:B6" xr:uid="{7FF27555-AED5-4630-B8BF-A3C10B94341A}"/>
  <tableColumns count="2">
    <tableColumn id="1" xr3:uid="{C08B0ABC-E6F9-4DAA-BAB5-E360DA40AB20}" name="Model" dataDxfId="59"/>
    <tableColumn id="4" xr3:uid="{FBAB8A1C-1D83-47DD-8443-B5075A88D907}" name="Spectrum Analyser" dataDxfId="5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ECD9129-6A4F-4909-ACF9-B33E500F3E85}" name="Table2" displayName="Table2" ref="C1:F2" totalsRowShown="0" headerRowDxfId="57" dataDxfId="56">
  <autoFilter ref="C1:F2" xr:uid="{3ECD9129-6A4F-4909-ACF9-B33E500F3E85}"/>
  <tableColumns count="4">
    <tableColumn id="1" xr3:uid="{6725BEBC-1A4D-4738-BF8D-A3FF4CADEF79}" name="DAQ" dataDxfId="55"/>
    <tableColumn id="2" xr3:uid="{5EA8DC36-076C-40F6-BDC5-3147AB65C9F8}" name="DAQ 1" dataDxfId="54"/>
    <tableColumn id="3" xr3:uid="{44E48805-A762-4FE3-92A6-755D421593A6}" name="DAQ 2" dataDxfId="53"/>
    <tableColumn id="4" xr3:uid="{C0BF68FE-91EE-42D7-BA3D-DE776FBA2C32}" name="slit" dataDxfId="5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2334575-6E6B-4CD2-828D-27AB672583CD}" name="Table3" displayName="Table3" ref="A8:M11" totalsRowShown="0" headerRowDxfId="51" dataDxfId="49" headerRowBorderDxfId="50" tableBorderDxfId="48" totalsRowBorderDxfId="47">
  <autoFilter ref="A8:M11" xr:uid="{12334575-6E6B-4CD2-828D-27AB672583CD}"/>
  <tableColumns count="13">
    <tableColumn id="1" xr3:uid="{C65E1FAA-5251-4635-9097-2D6655E58594}" name="Sr No." dataDxfId="46"/>
    <tableColumn id="2" xr3:uid="{6A91A0D0-78BB-41FD-9905-759BDF0B4426}" name="Model" dataDxfId="45"/>
    <tableColumn id="3" xr3:uid="{47AA8197-4A8E-4317-9802-BC5465879EA7}" name="Bench No" dataDxfId="44"/>
    <tableColumn id="4" xr3:uid="{EF9A5B1F-2BF3-4490-BAB4-311C4EA79AAB}" name="Start Date" dataDxfId="43"/>
    <tableColumn id="5" xr3:uid="{8E8053FE-674F-4EDC-BA96-52ED10EB523B}" name="End Date" dataDxfId="42"/>
    <tableColumn id="6" xr3:uid="{90FD632A-59E4-41F7-B5FE-4A627A9F348F}" name="CCD 1" dataDxfId="41"/>
    <tableColumn id="7" xr3:uid="{88E14E0C-89FD-4D91-8BF3-97714FAEC77B}" name="CCD 2" dataDxfId="40"/>
    <tableColumn id="8" xr3:uid="{97AAA193-58E4-46BC-AB0D-BCF816562BA4}" name="DAQ 1" dataDxfId="39"/>
    <tableColumn id="9" xr3:uid="{60B942F5-355B-4835-8B65-F279D1AA9BCC}" name="DAQ 2" dataDxfId="38"/>
    <tableColumn id="10" xr3:uid="{42CEE163-B745-42CC-B254-2D331314CD43}" name="Slit" dataDxfId="37"/>
    <tableColumn id="11" xr3:uid="{E261B260-E1D6-47F4-B34C-E0B77B07569B}" name="Grating" dataDxfId="36"/>
    <tableColumn id="12" xr3:uid="{CF28EA35-2108-4534-9C29-C42D7D0F0599}" name="Alignment Engineer" dataDxfId="35"/>
    <tableColumn id="13" xr3:uid="{B487F940-39F4-4998-AB63-1C5967D4A7B6}" name="Remark" dataDxfId="34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A608628-0517-469B-9488-E3F17C485FC0}" name="Table5" displayName="Table5" ref="A13:A20" totalsRowShown="0" headerRowDxfId="33" dataDxfId="31" headerRowBorderDxfId="32" tableBorderDxfId="30" totalsRowBorderDxfId="29">
  <autoFilter ref="A13:A20" xr:uid="{EA608628-0517-469B-9488-E3F17C485FC0}"/>
  <tableColumns count="1">
    <tableColumn id="1" xr3:uid="{9497B848-8F79-45E2-A375-2B46A9B7CBF5}" name="Slit" dataDxfId="28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9D6EB-341B-4B0E-8C5B-55BC3B6C7066}">
  <sheetPr codeName="Sheet1"/>
  <dimension ref="A1:I35"/>
  <sheetViews>
    <sheetView topLeftCell="A13" workbookViewId="0">
      <selection activeCell="L12" sqref="L12"/>
    </sheetView>
  </sheetViews>
  <sheetFormatPr defaultRowHeight="15" x14ac:dyDescent="0.25"/>
  <cols>
    <col min="1" max="1" width="9.140625" style="10"/>
    <col min="2" max="2" width="20.7109375" style="15" customWidth="1"/>
    <col min="3" max="3" width="3.7109375" style="16" customWidth="1"/>
    <col min="4" max="4" width="20.7109375" style="10" customWidth="1"/>
    <col min="5" max="5" width="3.5703125" style="10" customWidth="1"/>
    <col min="6" max="6" width="20.7109375" style="15" customWidth="1"/>
    <col min="7" max="7" width="3.7109375" style="16" customWidth="1"/>
    <col min="8" max="8" width="20.7109375" style="10" customWidth="1"/>
    <col min="9" max="16384" width="9.140625" style="10"/>
  </cols>
  <sheetData>
    <row r="1" spans="1:9" ht="45" customHeight="1" x14ac:dyDescent="0.25">
      <c r="A1" s="69" t="s">
        <v>26</v>
      </c>
      <c r="B1" s="70"/>
      <c r="C1" s="70"/>
      <c r="D1" s="70"/>
      <c r="E1" s="70"/>
      <c r="F1" s="70"/>
      <c r="G1" s="70"/>
      <c r="H1" s="70"/>
      <c r="I1" s="70"/>
    </row>
    <row r="2" spans="1:9" x14ac:dyDescent="0.25">
      <c r="A2" s="11"/>
      <c r="B2" s="12"/>
      <c r="C2" s="13"/>
      <c r="D2" s="11"/>
      <c r="E2" s="11"/>
      <c r="F2" s="12"/>
      <c r="G2" s="13"/>
      <c r="H2" s="11"/>
      <c r="I2" s="11"/>
    </row>
    <row r="3" spans="1:9" x14ac:dyDescent="0.25">
      <c r="A3" s="11"/>
      <c r="B3" s="12" t="s">
        <v>0</v>
      </c>
      <c r="C3" s="13" t="s">
        <v>11</v>
      </c>
      <c r="D3" s="21"/>
      <c r="E3" s="11"/>
      <c r="F3" s="12" t="s">
        <v>10</v>
      </c>
      <c r="G3" s="13" t="s">
        <v>11</v>
      </c>
      <c r="H3" s="25"/>
      <c r="I3" s="11"/>
    </row>
    <row r="4" spans="1:9" x14ac:dyDescent="0.25">
      <c r="A4" s="11"/>
      <c r="B4" s="12"/>
      <c r="C4" s="13"/>
      <c r="D4" s="11"/>
      <c r="E4" s="11"/>
      <c r="F4" s="12"/>
      <c r="G4" s="13"/>
      <c r="H4" s="11"/>
      <c r="I4" s="11"/>
    </row>
    <row r="5" spans="1:9" x14ac:dyDescent="0.25">
      <c r="A5" s="11"/>
      <c r="B5" s="12" t="s">
        <v>4</v>
      </c>
      <c r="C5" s="13" t="s">
        <v>11</v>
      </c>
      <c r="D5" s="20"/>
      <c r="E5" s="11"/>
      <c r="F5" s="12" t="s">
        <v>5</v>
      </c>
      <c r="G5" s="13" t="s">
        <v>11</v>
      </c>
      <c r="H5" s="20"/>
      <c r="I5" s="11"/>
    </row>
    <row r="6" spans="1:9" x14ac:dyDescent="0.25">
      <c r="A6" s="11"/>
      <c r="B6" s="12"/>
      <c r="C6" s="13"/>
      <c r="D6" s="11"/>
      <c r="E6" s="11"/>
      <c r="F6" s="12"/>
      <c r="G6" s="13"/>
      <c r="H6" s="11"/>
      <c r="I6" s="11"/>
    </row>
    <row r="7" spans="1:9" x14ac:dyDescent="0.25">
      <c r="A7" s="11"/>
      <c r="B7" s="12"/>
      <c r="C7" s="13" t="s">
        <v>11</v>
      </c>
      <c r="D7" s="64" t="str">
        <f>IF(D3="","","Linox")</f>
        <v/>
      </c>
      <c r="E7" s="11"/>
      <c r="F7" s="12"/>
      <c r="G7" s="13" t="s">
        <v>11</v>
      </c>
      <c r="H7" s="22" t="str">
        <f>IF(D3="","",IF(D3="1008i","","New Port"))</f>
        <v/>
      </c>
      <c r="I7" s="11"/>
    </row>
    <row r="8" spans="1:9" x14ac:dyDescent="0.25">
      <c r="A8" s="11"/>
      <c r="B8" s="12" t="s">
        <v>8</v>
      </c>
      <c r="C8" s="13"/>
      <c r="D8" s="63" t="s">
        <v>29</v>
      </c>
      <c r="E8" s="11"/>
      <c r="F8" s="12" t="s">
        <v>9</v>
      </c>
      <c r="G8" s="13"/>
      <c r="H8" s="27"/>
      <c r="I8" s="11"/>
    </row>
    <row r="9" spans="1:9" x14ac:dyDescent="0.25">
      <c r="A9" s="11"/>
      <c r="B9" s="12"/>
      <c r="C9" s="13" t="s">
        <v>11</v>
      </c>
      <c r="D9" s="27"/>
      <c r="E9" s="11"/>
      <c r="F9" s="12"/>
      <c r="G9" s="13" t="s">
        <v>11</v>
      </c>
      <c r="H9" s="22" t="str">
        <f>IF(D3="","",H13)</f>
        <v/>
      </c>
      <c r="I9" s="11"/>
    </row>
    <row r="10" spans="1:9" x14ac:dyDescent="0.25">
      <c r="A10" s="11"/>
      <c r="B10" s="12"/>
      <c r="C10" s="13"/>
      <c r="D10" s="11"/>
      <c r="E10" s="11"/>
      <c r="F10" s="12"/>
      <c r="G10" s="13"/>
      <c r="H10" s="11"/>
      <c r="I10" s="11"/>
    </row>
    <row r="11" spans="1:9" x14ac:dyDescent="0.25">
      <c r="A11" s="11"/>
      <c r="B11" s="12" t="s">
        <v>12</v>
      </c>
      <c r="C11" s="13" t="s">
        <v>11</v>
      </c>
      <c r="D11" s="23" t="str">
        <f>IF(D3="","",IF(CAL!G11="",LEFT(CAL!F11,10)&amp;SUM(MID(CAL!F11,11,4),1)&amp;MID(CAL!F11,15,1)&amp;SUM(MID(CAL!F11,16,4),1)&amp;RIGHT(CAL!F11,1),LEFT(CAL!G11,10)&amp;SUM(MID(CAL!G11,11,4),1)&amp;MID(CAL!G11,15,1)&amp;SUM(MID(CAL!G11,16,4),1)&amp;RIGHT(CAL!G11,1)))</f>
        <v/>
      </c>
      <c r="E11" s="11"/>
      <c r="F11" s="12" t="s">
        <v>14</v>
      </c>
      <c r="G11" s="13" t="s">
        <v>11</v>
      </c>
      <c r="H11" s="22" t="str">
        <f>IF(D3="","",VLOOKUP(D3,Table1[#All],2,FALSE))</f>
        <v/>
      </c>
      <c r="I11" s="11"/>
    </row>
    <row r="12" spans="1:9" x14ac:dyDescent="0.25">
      <c r="A12" s="11"/>
      <c r="B12" s="12"/>
      <c r="C12" s="13"/>
      <c r="D12" s="11"/>
      <c r="E12" s="11"/>
      <c r="F12" s="12"/>
      <c r="G12" s="13"/>
      <c r="H12" s="11"/>
      <c r="I12" s="11"/>
    </row>
    <row r="13" spans="1:9" x14ac:dyDescent="0.25">
      <c r="A13" s="11"/>
      <c r="B13" s="12" t="s">
        <v>13</v>
      </c>
      <c r="C13" s="13" t="s">
        <v>11</v>
      </c>
      <c r="D13" s="24" t="str">
        <f>IF(D3="1008i",LEFT(D11,10)&amp;SUM(MID(D11,11,4),1)&amp;MID(D11,15,1)&amp;SUM(MID(D11,16,4),1)&amp;RIGHT(D11,1),"")</f>
        <v/>
      </c>
      <c r="E13" s="11"/>
      <c r="F13" s="14" t="str">
        <f>IF(H11="","Select Analyser",VLOOKUP(H11,Table2[#All],2,FALSE))</f>
        <v>Select Analyser</v>
      </c>
      <c r="G13" s="13" t="s">
        <v>11</v>
      </c>
      <c r="H13" s="25"/>
      <c r="I13" s="11"/>
    </row>
    <row r="14" spans="1:9" x14ac:dyDescent="0.25">
      <c r="A14" s="11"/>
      <c r="B14" s="12"/>
      <c r="C14" s="13"/>
      <c r="D14" s="11"/>
      <c r="E14" s="11"/>
      <c r="F14" s="12"/>
      <c r="G14" s="13"/>
      <c r="H14" s="11"/>
      <c r="I14" s="11"/>
    </row>
    <row r="15" spans="1:9" x14ac:dyDescent="0.25">
      <c r="A15" s="11"/>
      <c r="B15" s="12"/>
      <c r="C15" s="13"/>
      <c r="D15" s="11"/>
      <c r="E15" s="11"/>
      <c r="F15" s="14" t="str">
        <f>IF(H11="","Select Analyser",VLOOKUP(H11,Table2[#All],3,FALSE))</f>
        <v>Select Analyser</v>
      </c>
      <c r="G15" s="13" t="s">
        <v>11</v>
      </c>
      <c r="H15" s="25"/>
      <c r="I15" s="11"/>
    </row>
    <row r="16" spans="1:9" x14ac:dyDescent="0.25">
      <c r="A16" s="11"/>
      <c r="B16" s="12"/>
      <c r="C16" s="13"/>
      <c r="D16" s="11"/>
      <c r="E16" s="11"/>
      <c r="F16" s="12"/>
      <c r="G16" s="13"/>
      <c r="H16" s="11"/>
      <c r="I16" s="11"/>
    </row>
    <row r="17" spans="1:9" x14ac:dyDescent="0.25">
      <c r="A17" s="11"/>
      <c r="B17" s="12" t="s">
        <v>20</v>
      </c>
      <c r="C17" s="13" t="s">
        <v>11</v>
      </c>
      <c r="D17" s="26"/>
      <c r="E17" s="17"/>
      <c r="F17" s="26"/>
      <c r="G17" s="17"/>
      <c r="H17" s="26"/>
      <c r="I17" s="11"/>
    </row>
    <row r="18" spans="1:9" x14ac:dyDescent="0.25">
      <c r="A18" s="11"/>
      <c r="B18" s="12"/>
      <c r="C18" s="13"/>
      <c r="D18" s="17"/>
      <c r="E18" s="17"/>
      <c r="F18" s="17"/>
      <c r="G18" s="17"/>
      <c r="H18" s="17"/>
      <c r="I18" s="11"/>
    </row>
    <row r="19" spans="1:9" x14ac:dyDescent="0.25">
      <c r="A19" s="11"/>
      <c r="B19" s="12"/>
      <c r="C19" s="13"/>
      <c r="D19" s="17"/>
      <c r="E19" s="17"/>
      <c r="F19" s="17"/>
      <c r="G19" s="17"/>
      <c r="H19" s="17"/>
      <c r="I19" s="11"/>
    </row>
    <row r="20" spans="1:9" x14ac:dyDescent="0.25">
      <c r="A20" s="11"/>
      <c r="B20" s="12"/>
      <c r="C20" s="13"/>
      <c r="D20" s="26"/>
      <c r="E20" s="17"/>
      <c r="F20" s="26"/>
      <c r="G20" s="17"/>
      <c r="H20" s="26"/>
      <c r="I20" s="11"/>
    </row>
    <row r="21" spans="1:9" x14ac:dyDescent="0.25">
      <c r="A21" s="11"/>
      <c r="B21" s="12"/>
      <c r="C21" s="13"/>
      <c r="D21" s="17"/>
      <c r="E21" s="17"/>
      <c r="F21" s="17"/>
      <c r="G21" s="17"/>
      <c r="H21" s="17"/>
      <c r="I21" s="11"/>
    </row>
    <row r="22" spans="1:9" x14ac:dyDescent="0.25">
      <c r="A22" s="11"/>
      <c r="B22" s="12" t="s">
        <v>20</v>
      </c>
      <c r="C22" s="13" t="s">
        <v>11</v>
      </c>
      <c r="D22" s="71"/>
      <c r="E22" s="71"/>
      <c r="F22" s="71"/>
      <c r="G22" s="71"/>
      <c r="H22" s="71"/>
      <c r="I22" s="11"/>
    </row>
    <row r="23" spans="1:9" x14ac:dyDescent="0.25">
      <c r="A23" s="11"/>
      <c r="B23" s="12"/>
      <c r="C23" s="13"/>
      <c r="D23" s="71"/>
      <c r="E23" s="71"/>
      <c r="F23" s="71"/>
      <c r="G23" s="71"/>
      <c r="H23" s="71"/>
      <c r="I23" s="11"/>
    </row>
    <row r="24" spans="1:9" x14ac:dyDescent="0.25">
      <c r="A24" s="11"/>
      <c r="B24" s="12"/>
      <c r="C24" s="13"/>
      <c r="D24" s="11"/>
      <c r="E24" s="11"/>
      <c r="F24" s="12"/>
      <c r="G24" s="13"/>
      <c r="H24" s="11"/>
      <c r="I24" s="11"/>
    </row>
    <row r="25" spans="1:9" x14ac:dyDescent="0.25">
      <c r="A25" s="11"/>
      <c r="B25" s="12"/>
      <c r="C25" s="13"/>
      <c r="D25" s="11"/>
      <c r="E25" s="11"/>
      <c r="F25" s="12" t="s">
        <v>21</v>
      </c>
      <c r="G25" s="13" t="s">
        <v>11</v>
      </c>
      <c r="H25" s="21"/>
      <c r="I25" s="11"/>
    </row>
    <row r="26" spans="1:9" x14ac:dyDescent="0.25">
      <c r="A26" s="11"/>
      <c r="B26" s="12"/>
      <c r="C26" s="13"/>
      <c r="D26" s="11"/>
      <c r="E26" s="11"/>
      <c r="F26" s="12"/>
      <c r="G26" s="13"/>
      <c r="H26" s="11"/>
      <c r="I26" s="11"/>
    </row>
    <row r="27" spans="1:9" x14ac:dyDescent="0.25">
      <c r="A27" s="11"/>
      <c r="B27" s="12"/>
      <c r="C27" s="13"/>
      <c r="D27" s="11"/>
      <c r="E27" s="11"/>
      <c r="F27" s="12"/>
      <c r="G27" s="13"/>
      <c r="H27" s="11"/>
      <c r="I27" s="11"/>
    </row>
    <row r="28" spans="1:9" x14ac:dyDescent="0.25">
      <c r="A28" s="11"/>
      <c r="B28" s="12"/>
      <c r="C28" s="13"/>
      <c r="D28" s="11"/>
      <c r="E28" s="11"/>
      <c r="F28" s="12"/>
      <c r="G28" s="13"/>
      <c r="H28" s="11"/>
      <c r="I28" s="11"/>
    </row>
    <row r="29" spans="1:9" x14ac:dyDescent="0.25">
      <c r="A29" s="11"/>
      <c r="B29" s="12"/>
      <c r="C29" s="13"/>
      <c r="D29" s="11"/>
      <c r="E29" s="11"/>
      <c r="F29" s="12"/>
      <c r="G29" s="13"/>
      <c r="H29" s="11"/>
      <c r="I29" s="11"/>
    </row>
    <row r="30" spans="1:9" x14ac:dyDescent="0.25">
      <c r="A30" s="11"/>
      <c r="B30" s="12"/>
      <c r="C30" s="13"/>
      <c r="D30" s="11"/>
      <c r="E30" s="11"/>
      <c r="F30" s="12"/>
      <c r="G30" s="13"/>
      <c r="H30" s="11"/>
      <c r="I30" s="11"/>
    </row>
    <row r="31" spans="1:9" x14ac:dyDescent="0.25">
      <c r="A31" s="11"/>
      <c r="B31" s="12"/>
      <c r="C31" s="13"/>
      <c r="D31" s="11"/>
      <c r="E31" s="11"/>
      <c r="F31" s="12"/>
      <c r="G31" s="13"/>
      <c r="H31" s="11"/>
      <c r="I31" s="11"/>
    </row>
    <row r="32" spans="1:9" x14ac:dyDescent="0.25">
      <c r="A32" s="11"/>
      <c r="B32" s="12"/>
      <c r="C32" s="13"/>
      <c r="D32" s="11"/>
      <c r="E32" s="11"/>
      <c r="F32" s="12"/>
      <c r="G32" s="13"/>
      <c r="H32" s="11"/>
      <c r="I32" s="11"/>
    </row>
    <row r="33" spans="1:9" x14ac:dyDescent="0.25">
      <c r="A33" s="11"/>
      <c r="B33" s="12"/>
      <c r="C33" s="13"/>
      <c r="D33" s="11"/>
      <c r="E33" s="11"/>
      <c r="F33" s="12"/>
      <c r="G33" s="13"/>
      <c r="H33" s="11"/>
      <c r="I33" s="11"/>
    </row>
    <row r="34" spans="1:9" x14ac:dyDescent="0.25">
      <c r="A34" s="11"/>
      <c r="B34" s="12"/>
      <c r="C34" s="13"/>
      <c r="D34" s="11"/>
      <c r="E34" s="11"/>
      <c r="F34" s="12"/>
      <c r="G34" s="13"/>
      <c r="H34" s="11"/>
      <c r="I34" s="11"/>
    </row>
    <row r="35" spans="1:9" x14ac:dyDescent="0.25">
      <c r="A35" s="11"/>
      <c r="B35" s="12"/>
      <c r="C35" s="13"/>
      <c r="D35" s="11"/>
      <c r="E35" s="11"/>
      <c r="F35" s="12"/>
      <c r="G35" s="13"/>
      <c r="H35" s="11"/>
      <c r="I35" s="11"/>
    </row>
  </sheetData>
  <sheetProtection formatCells="0" formatColumns="0" formatRows="0" insertColumns="0" insertRows="0" insertHyperlinks="0" deleteColumns="0" deleteRows="0" sort="0" autoFilter="0" pivotTables="0"/>
  <mergeCells count="2">
    <mergeCell ref="A1:I1"/>
    <mergeCell ref="D22:H23"/>
  </mergeCells>
  <conditionalFormatting sqref="H7">
    <cfRule type="expression" dxfId="65" priority="3">
      <formula>D3="1008i"</formula>
    </cfRule>
  </conditionalFormatting>
  <conditionalFormatting sqref="G7">
    <cfRule type="expression" dxfId="64" priority="2">
      <formula>"D3=""1008i"""</formula>
    </cfRule>
    <cfRule type="expression" dxfId="63" priority="4">
      <formula>"D3=""1008i"""</formula>
    </cfRule>
  </conditionalFormatting>
  <conditionalFormatting sqref="I7">
    <cfRule type="expression" dxfId="62" priority="1">
      <formula>D3="1008i"</formula>
    </cfRule>
  </conditionalFormatting>
  <dataValidations count="3">
    <dataValidation type="list" allowBlank="1" showInputMessage="1" showErrorMessage="1" sqref="H25" xr:uid="{5A762710-6150-4FDA-BD93-0646EC2AB7BB}">
      <formula1>"Sameer.L,Deepak.M,Vishal.B,Ajay.P"</formula1>
    </dataValidation>
    <dataValidation showInputMessage="1" showErrorMessage="1" sqref="D13" xr:uid="{93B02BBA-8965-4B66-B42A-CA863E66891D}"/>
    <dataValidation type="date" allowBlank="1" showInputMessage="1" showErrorMessage="1" sqref="H5" xr:uid="{6EA21DD8-5373-40B6-95A2-08BBD069D61F}">
      <formula1>44562</formula1>
      <formula2>44926</formula2>
    </dataValidation>
  </dataValidations>
  <pageMargins left="0.7" right="0.7" top="0.75" bottom="0.75" header="0.3" footer="0.3"/>
  <pageSetup paperSize="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7" r:id="rId4" name="Button 9">
              <controlPr defaultSize="0" print="0" autoFill="0" autoPict="0" macro="[0]!SUMBIT" altText="SUMBIT">
                <anchor moveWithCells="1">
                  <from>
                    <xdr:col>3</xdr:col>
                    <xdr:colOff>0</xdr:colOff>
                    <xdr:row>29</xdr:row>
                    <xdr:rowOff>19050</xdr:rowOff>
                  </from>
                  <to>
                    <xdr:col>4</xdr:col>
                    <xdr:colOff>0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5" name="Button 19">
              <controlPr defaultSize="0" print="0" autoFill="0" autoPict="0" macro="[0]!CANCEL">
                <anchor moveWithCells="1">
                  <from>
                    <xdr:col>4</xdr:col>
                    <xdr:colOff>485775</xdr:colOff>
                    <xdr:row>29</xdr:row>
                    <xdr:rowOff>19050</xdr:rowOff>
                  </from>
                  <to>
                    <xdr:col>5</xdr:col>
                    <xdr:colOff>1200150</xdr:colOff>
                    <xdr:row>31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6" name="Check Box 22">
              <controlPr defaultSize="0" autoFill="0" autoLine="0" autoPict="0">
                <anchor moveWithCells="1">
                  <from>
                    <xdr:col>2</xdr:col>
                    <xdr:colOff>238125</xdr:colOff>
                    <xdr:row>15</xdr:row>
                    <xdr:rowOff>171450</xdr:rowOff>
                  </from>
                  <to>
                    <xdr:col>3</xdr:col>
                    <xdr:colOff>1343025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7" name="Check Box 23">
              <controlPr defaultSize="0" autoFill="0" autoLine="0" autoPict="0">
                <anchor moveWithCells="1">
                  <from>
                    <xdr:col>4</xdr:col>
                    <xdr:colOff>285750</xdr:colOff>
                    <xdr:row>15</xdr:row>
                    <xdr:rowOff>123825</xdr:rowOff>
                  </from>
                  <to>
                    <xdr:col>5</xdr:col>
                    <xdr:colOff>1266825</xdr:colOff>
                    <xdr:row>17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8" name="Check Box 24">
              <controlPr defaultSize="0" autoFill="0" autoLine="0" autoPict="0">
                <anchor moveWithCells="1">
                  <from>
                    <xdr:col>7</xdr:col>
                    <xdr:colOff>133350</xdr:colOff>
                    <xdr:row>15</xdr:row>
                    <xdr:rowOff>171450</xdr:rowOff>
                  </from>
                  <to>
                    <xdr:col>7</xdr:col>
                    <xdr:colOff>990600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9" name="Check Box 25">
              <controlPr defaultSize="0" autoFill="0" autoLine="0" autoPict="0">
                <anchor moveWithCells="1">
                  <from>
                    <xdr:col>3</xdr:col>
                    <xdr:colOff>19050</xdr:colOff>
                    <xdr:row>19</xdr:row>
                    <xdr:rowOff>0</xdr:rowOff>
                  </from>
                  <to>
                    <xdr:col>3</xdr:col>
                    <xdr:colOff>876300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0" name="Check Box 26">
              <controlPr defaultSize="0" autoFill="0" autoLine="0" autoPict="0">
                <anchor moveWithCells="1">
                  <from>
                    <xdr:col>4</xdr:col>
                    <xdr:colOff>295275</xdr:colOff>
                    <xdr:row>19</xdr:row>
                    <xdr:rowOff>0</xdr:rowOff>
                  </from>
                  <to>
                    <xdr:col>5</xdr:col>
                    <xdr:colOff>1285875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1" name="Check Box 27">
              <controlPr defaultSize="0" autoFill="0" autoLine="0" autoPict="0">
                <anchor moveWithCells="1">
                  <from>
                    <xdr:col>7</xdr:col>
                    <xdr:colOff>133350</xdr:colOff>
                    <xdr:row>19</xdr:row>
                    <xdr:rowOff>0</xdr:rowOff>
                  </from>
                  <to>
                    <xdr:col>7</xdr:col>
                    <xdr:colOff>990600</xdr:colOff>
                    <xdr:row>20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49F05BF-3DD0-4038-9396-5C3FF48A68F0}">
          <x14:formula1>
            <xm:f>CAL!$A$1:$A$6</xm:f>
          </x14:formula1>
          <xm:sqref>D3</xm:sqref>
        </x14:dataValidation>
        <x14:dataValidation type="list" allowBlank="1" showInputMessage="1" showErrorMessage="1" xr:uid="{9A498D38-E13A-4B57-ABCD-71C0EF60E9D8}">
          <x14:formula1>
            <xm:f>CAL!$A$14:$A$20</xm:f>
          </x14:formula1>
          <xm:sqref>D8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D42A3-4114-46FB-8D2B-B147F327868A}">
  <sheetPr codeName="Sheet3"/>
  <dimension ref="A1:M90"/>
  <sheetViews>
    <sheetView workbookViewId="0">
      <selection activeCell="L2" sqref="L2"/>
    </sheetView>
  </sheetViews>
  <sheetFormatPr defaultColWidth="20.7109375" defaultRowHeight="20.100000000000001" customHeight="1" x14ac:dyDescent="0.25"/>
  <cols>
    <col min="1" max="1" width="9.85546875" style="1" bestFit="1" customWidth="1"/>
    <col min="2" max="2" width="11.42578125" style="1" bestFit="1" customWidth="1"/>
    <col min="3" max="3" width="14" style="1" bestFit="1" customWidth="1"/>
    <col min="4" max="5" width="16.42578125" style="4" bestFit="1" customWidth="1"/>
    <col min="6" max="7" width="20.28515625" style="1" bestFit="1" customWidth="1"/>
    <col min="8" max="9" width="21.7109375" style="1" bestFit="1" customWidth="1"/>
    <col min="10" max="10" width="8.42578125" style="1" bestFit="1" customWidth="1"/>
    <col min="11" max="11" width="17.28515625" style="1" bestFit="1" customWidth="1"/>
    <col min="12" max="12" width="23.42578125" style="1" bestFit="1" customWidth="1"/>
    <col min="13" max="13" width="76.140625" style="1" bestFit="1" customWidth="1"/>
    <col min="14" max="16384" width="20.7109375" style="1"/>
  </cols>
  <sheetData>
    <row r="1" spans="1:13" ht="20.100000000000001" customHeight="1" x14ac:dyDescent="0.25">
      <c r="A1" s="2" t="s">
        <v>25</v>
      </c>
      <c r="B1" s="2" t="s">
        <v>0</v>
      </c>
      <c r="C1" s="2" t="s">
        <v>10</v>
      </c>
      <c r="D1" s="3" t="s">
        <v>4</v>
      </c>
      <c r="E1" s="3" t="s">
        <v>5</v>
      </c>
      <c r="F1" s="2" t="s">
        <v>23</v>
      </c>
      <c r="G1" s="2" t="s">
        <v>24</v>
      </c>
      <c r="H1" s="2" t="s">
        <v>17</v>
      </c>
      <c r="I1" s="2" t="s">
        <v>18</v>
      </c>
      <c r="J1" s="2" t="s">
        <v>8</v>
      </c>
      <c r="K1" s="2" t="s">
        <v>9</v>
      </c>
      <c r="L1" s="2" t="s">
        <v>21</v>
      </c>
      <c r="M1" s="2" t="s">
        <v>20</v>
      </c>
    </row>
    <row r="2" spans="1:13" ht="20.100000000000001" customHeight="1" x14ac:dyDescent="0.25">
      <c r="A2" s="35">
        <v>88</v>
      </c>
      <c r="B2" s="36" t="s">
        <v>3</v>
      </c>
      <c r="C2" s="36">
        <v>224</v>
      </c>
      <c r="D2" s="38">
        <v>44677</v>
      </c>
      <c r="E2" s="38">
        <v>44684</v>
      </c>
      <c r="F2" s="36" t="s">
        <v>449</v>
      </c>
      <c r="G2" s="36" t="s">
        <v>450</v>
      </c>
      <c r="H2" s="36" t="s">
        <v>445</v>
      </c>
      <c r="I2" s="36" t="s">
        <v>446</v>
      </c>
      <c r="J2" s="36" t="s">
        <v>29</v>
      </c>
      <c r="K2" s="36" t="s">
        <v>447</v>
      </c>
      <c r="L2" s="36" t="s">
        <v>385</v>
      </c>
      <c r="M2" s="39" t="s">
        <v>448</v>
      </c>
    </row>
    <row r="3" spans="1:13" ht="20.100000000000001" customHeight="1" x14ac:dyDescent="0.25">
      <c r="A3" s="35">
        <v>87</v>
      </c>
      <c r="B3" s="36" t="s">
        <v>439</v>
      </c>
      <c r="C3" s="36">
        <v>223</v>
      </c>
      <c r="D3" s="38">
        <v>44673</v>
      </c>
      <c r="E3" s="38">
        <v>44681</v>
      </c>
      <c r="F3" s="36" t="s">
        <v>441</v>
      </c>
      <c r="G3" s="36" t="s">
        <v>442</v>
      </c>
      <c r="H3" s="36" t="s">
        <v>443</v>
      </c>
      <c r="I3" s="36" t="s">
        <v>444</v>
      </c>
      <c r="J3" s="36" t="s">
        <v>29</v>
      </c>
      <c r="K3" s="36"/>
      <c r="L3" s="36" t="s">
        <v>385</v>
      </c>
      <c r="M3" s="39" t="s">
        <v>440</v>
      </c>
    </row>
    <row r="4" spans="1:13" ht="27" customHeight="1" x14ac:dyDescent="0.25">
      <c r="A4" s="35">
        <v>86</v>
      </c>
      <c r="B4" s="36" t="s">
        <v>2</v>
      </c>
      <c r="C4" s="36">
        <v>1208</v>
      </c>
      <c r="D4" s="38">
        <v>44679</v>
      </c>
      <c r="E4" s="38">
        <v>44679</v>
      </c>
      <c r="F4" s="36" t="s">
        <v>438</v>
      </c>
      <c r="G4" s="36" t="s">
        <v>94</v>
      </c>
      <c r="H4" s="36" t="s">
        <v>435</v>
      </c>
      <c r="I4" s="36" t="s">
        <v>436</v>
      </c>
      <c r="J4" s="36" t="s">
        <v>91</v>
      </c>
      <c r="K4" s="36" t="s">
        <v>437</v>
      </c>
      <c r="L4" s="36" t="s">
        <v>195</v>
      </c>
      <c r="M4" s="39" t="s">
        <v>98</v>
      </c>
    </row>
    <row r="5" spans="1:13" ht="20.100000000000001" customHeight="1" x14ac:dyDescent="0.25">
      <c r="A5" s="35">
        <v>85</v>
      </c>
      <c r="B5" s="36" t="s">
        <v>3</v>
      </c>
      <c r="C5" s="36">
        <v>222</v>
      </c>
      <c r="D5" s="38">
        <v>44671</v>
      </c>
      <c r="E5" s="38">
        <v>44678</v>
      </c>
      <c r="F5" s="36" t="s">
        <v>432</v>
      </c>
      <c r="G5" s="36" t="s">
        <v>433</v>
      </c>
      <c r="H5" s="36" t="s">
        <v>429</v>
      </c>
      <c r="I5" s="36" t="s">
        <v>430</v>
      </c>
      <c r="J5" s="36" t="s">
        <v>29</v>
      </c>
      <c r="K5" s="36" t="s">
        <v>434</v>
      </c>
      <c r="L5" s="36" t="s">
        <v>385</v>
      </c>
      <c r="M5" s="39" t="s">
        <v>431</v>
      </c>
    </row>
    <row r="6" spans="1:13" ht="27" customHeight="1" x14ac:dyDescent="0.25">
      <c r="A6" s="35">
        <v>84</v>
      </c>
      <c r="B6" s="36" t="s">
        <v>2</v>
      </c>
      <c r="C6" s="36">
        <v>1207</v>
      </c>
      <c r="D6" s="38">
        <v>44676</v>
      </c>
      <c r="E6" s="38">
        <v>44676</v>
      </c>
      <c r="F6" s="36" t="s">
        <v>426</v>
      </c>
      <c r="G6" s="36" t="s">
        <v>94</v>
      </c>
      <c r="H6" s="36" t="s">
        <v>423</v>
      </c>
      <c r="I6" s="36" t="s">
        <v>424</v>
      </c>
      <c r="J6" s="36" t="s">
        <v>91</v>
      </c>
      <c r="K6" s="36" t="s">
        <v>425</v>
      </c>
      <c r="L6" s="36" t="s">
        <v>195</v>
      </c>
      <c r="M6" s="39" t="s">
        <v>98</v>
      </c>
    </row>
    <row r="7" spans="1:13" ht="27" customHeight="1" x14ac:dyDescent="0.25">
      <c r="A7" s="35">
        <v>83</v>
      </c>
      <c r="B7" s="36" t="s">
        <v>2</v>
      </c>
      <c r="C7" s="36">
        <v>1206</v>
      </c>
      <c r="D7" s="38">
        <v>44673</v>
      </c>
      <c r="E7" s="38">
        <v>44673</v>
      </c>
      <c r="F7" s="36" t="s">
        <v>422</v>
      </c>
      <c r="G7" s="36" t="s">
        <v>94</v>
      </c>
      <c r="H7" s="36" t="s">
        <v>419</v>
      </c>
      <c r="I7" s="36" t="s">
        <v>420</v>
      </c>
      <c r="J7" s="36" t="s">
        <v>91</v>
      </c>
      <c r="K7" s="36" t="s">
        <v>421</v>
      </c>
      <c r="L7" s="36" t="s">
        <v>195</v>
      </c>
      <c r="M7" s="39" t="s">
        <v>98</v>
      </c>
    </row>
    <row r="8" spans="1:13" ht="28.5" customHeight="1" x14ac:dyDescent="0.25">
      <c r="A8" s="35">
        <v>82</v>
      </c>
      <c r="B8" s="36" t="s">
        <v>2</v>
      </c>
      <c r="C8" s="36">
        <v>1204</v>
      </c>
      <c r="D8" s="38">
        <v>44671</v>
      </c>
      <c r="E8" s="38">
        <v>44671</v>
      </c>
      <c r="F8" s="36" t="s">
        <v>418</v>
      </c>
      <c r="G8" s="36" t="s">
        <v>94</v>
      </c>
      <c r="H8" s="36" t="s">
        <v>415</v>
      </c>
      <c r="I8" s="36" t="s">
        <v>416</v>
      </c>
      <c r="J8" s="36" t="s">
        <v>91</v>
      </c>
      <c r="K8" s="36" t="s">
        <v>417</v>
      </c>
      <c r="L8" s="36" t="s">
        <v>195</v>
      </c>
      <c r="M8" s="39" t="s">
        <v>98</v>
      </c>
    </row>
    <row r="9" spans="1:13" ht="20.100000000000001" customHeight="1" x14ac:dyDescent="0.25">
      <c r="A9" s="35">
        <v>81</v>
      </c>
      <c r="B9" s="36" t="s">
        <v>3</v>
      </c>
      <c r="C9" s="36">
        <v>221</v>
      </c>
      <c r="D9" s="38">
        <v>44665</v>
      </c>
      <c r="E9" s="38">
        <v>44672</v>
      </c>
      <c r="F9" s="36" t="s">
        <v>412</v>
      </c>
      <c r="G9" s="36" t="s">
        <v>413</v>
      </c>
      <c r="H9" s="36" t="s">
        <v>427</v>
      </c>
      <c r="I9" s="36" t="s">
        <v>428</v>
      </c>
      <c r="J9" s="36" t="s">
        <v>29</v>
      </c>
      <c r="K9" s="36" t="s">
        <v>414</v>
      </c>
      <c r="L9" s="36" t="s">
        <v>385</v>
      </c>
      <c r="M9" s="39" t="s">
        <v>411</v>
      </c>
    </row>
    <row r="10" spans="1:13" ht="20.100000000000001" customHeight="1" x14ac:dyDescent="0.25">
      <c r="A10" s="35">
        <v>80</v>
      </c>
      <c r="B10" s="36" t="s">
        <v>2</v>
      </c>
      <c r="C10" s="36">
        <v>1205</v>
      </c>
      <c r="D10" s="38">
        <v>44670</v>
      </c>
      <c r="E10" s="38">
        <v>44670</v>
      </c>
      <c r="F10" s="36" t="s">
        <v>406</v>
      </c>
      <c r="G10" s="36" t="s">
        <v>94</v>
      </c>
      <c r="H10" s="36" t="s">
        <v>404</v>
      </c>
      <c r="I10" s="36" t="s">
        <v>405</v>
      </c>
      <c r="J10" s="36" t="s">
        <v>91</v>
      </c>
      <c r="K10" s="36" t="s">
        <v>379</v>
      </c>
      <c r="L10" s="36" t="s">
        <v>195</v>
      </c>
      <c r="M10" s="39" t="s">
        <v>408</v>
      </c>
    </row>
    <row r="11" spans="1:13" ht="20.100000000000001" customHeight="1" x14ac:dyDescent="0.25">
      <c r="A11" s="35">
        <v>79</v>
      </c>
      <c r="B11" s="36" t="s">
        <v>2</v>
      </c>
      <c r="C11" s="36">
        <v>1203</v>
      </c>
      <c r="D11" s="38">
        <v>44669</v>
      </c>
      <c r="E11" s="38">
        <v>44669</v>
      </c>
      <c r="F11" s="36" t="s">
        <v>403</v>
      </c>
      <c r="G11" s="36" t="s">
        <v>94</v>
      </c>
      <c r="H11" s="36" t="s">
        <v>401</v>
      </c>
      <c r="I11" s="36" t="s">
        <v>402</v>
      </c>
      <c r="J11" s="36" t="s">
        <v>91</v>
      </c>
      <c r="K11" s="36" t="s">
        <v>379</v>
      </c>
      <c r="L11" s="36" t="s">
        <v>126</v>
      </c>
      <c r="M11" s="39" t="s">
        <v>409</v>
      </c>
    </row>
    <row r="12" spans="1:13" ht="31.5" customHeight="1" x14ac:dyDescent="0.25">
      <c r="A12" s="35">
        <v>78</v>
      </c>
      <c r="B12" s="36" t="s">
        <v>2</v>
      </c>
      <c r="C12" s="36">
        <v>1202</v>
      </c>
      <c r="D12" s="38">
        <v>44669</v>
      </c>
      <c r="E12" s="38">
        <v>44669</v>
      </c>
      <c r="F12" s="36" t="s">
        <v>400</v>
      </c>
      <c r="G12" s="36" t="s">
        <v>94</v>
      </c>
      <c r="H12" s="36" t="s">
        <v>398</v>
      </c>
      <c r="I12" s="36" t="s">
        <v>399</v>
      </c>
      <c r="J12" s="36" t="s">
        <v>91</v>
      </c>
      <c r="K12" s="36" t="s">
        <v>97</v>
      </c>
      <c r="L12" s="36" t="s">
        <v>195</v>
      </c>
      <c r="M12" s="39" t="s">
        <v>407</v>
      </c>
    </row>
    <row r="13" spans="1:13" ht="27" customHeight="1" x14ac:dyDescent="0.25">
      <c r="A13" s="35">
        <v>77</v>
      </c>
      <c r="B13" s="36" t="s">
        <v>2</v>
      </c>
      <c r="C13" s="36">
        <v>1201</v>
      </c>
      <c r="D13" s="38">
        <v>44667</v>
      </c>
      <c r="E13" s="38">
        <v>44667</v>
      </c>
      <c r="F13" s="36" t="s">
        <v>396</v>
      </c>
      <c r="G13" s="36" t="s">
        <v>94</v>
      </c>
      <c r="H13" s="36" t="s">
        <v>394</v>
      </c>
      <c r="I13" s="36" t="s">
        <v>395</v>
      </c>
      <c r="J13" s="36" t="s">
        <v>91</v>
      </c>
      <c r="K13" s="36" t="s">
        <v>97</v>
      </c>
      <c r="L13" s="36" t="s">
        <v>126</v>
      </c>
      <c r="M13" s="39" t="s">
        <v>410</v>
      </c>
    </row>
    <row r="14" spans="1:13" ht="20.100000000000001" customHeight="1" x14ac:dyDescent="0.25">
      <c r="A14" s="35">
        <v>76</v>
      </c>
      <c r="B14" s="36" t="s">
        <v>2</v>
      </c>
      <c r="C14" s="36">
        <v>1200</v>
      </c>
      <c r="D14" s="38">
        <v>44666</v>
      </c>
      <c r="E14" s="38">
        <v>44666</v>
      </c>
      <c r="F14" s="36" t="s">
        <v>393</v>
      </c>
      <c r="G14" s="36" t="s">
        <v>94</v>
      </c>
      <c r="H14" s="36" t="s">
        <v>338</v>
      </c>
      <c r="I14" s="36" t="s">
        <v>392</v>
      </c>
      <c r="J14" s="36" t="s">
        <v>91</v>
      </c>
      <c r="K14" s="36" t="s">
        <v>97</v>
      </c>
      <c r="L14" s="36" t="s">
        <v>126</v>
      </c>
      <c r="M14" s="39" t="s">
        <v>98</v>
      </c>
    </row>
    <row r="15" spans="1:13" ht="20.100000000000001" customHeight="1" x14ac:dyDescent="0.25">
      <c r="A15" s="65">
        <v>75</v>
      </c>
      <c r="B15" s="36" t="s">
        <v>2</v>
      </c>
      <c r="C15" s="66">
        <v>1199</v>
      </c>
      <c r="D15" s="67">
        <v>44633</v>
      </c>
      <c r="E15" s="67">
        <v>44633</v>
      </c>
      <c r="F15" s="66" t="s">
        <v>390</v>
      </c>
      <c r="G15" s="66"/>
      <c r="H15" s="36" t="s">
        <v>329</v>
      </c>
      <c r="I15" s="36" t="s">
        <v>391</v>
      </c>
      <c r="J15" s="36" t="s">
        <v>91</v>
      </c>
      <c r="K15" s="36" t="s">
        <v>379</v>
      </c>
      <c r="L15" s="36" t="s">
        <v>195</v>
      </c>
      <c r="M15" s="39" t="s">
        <v>98</v>
      </c>
    </row>
    <row r="16" spans="1:13" ht="20.100000000000001" customHeight="1" x14ac:dyDescent="0.25">
      <c r="A16" s="65">
        <v>74</v>
      </c>
      <c r="B16" s="36" t="s">
        <v>2</v>
      </c>
      <c r="C16" s="66">
        <v>1195</v>
      </c>
      <c r="D16" s="67">
        <v>44643</v>
      </c>
      <c r="E16" s="67">
        <v>44643</v>
      </c>
      <c r="F16" s="66" t="s">
        <v>387</v>
      </c>
      <c r="G16" s="66"/>
      <c r="H16" s="36" t="s">
        <v>388</v>
      </c>
      <c r="I16" s="36" t="s">
        <v>389</v>
      </c>
      <c r="J16" s="36" t="s">
        <v>91</v>
      </c>
      <c r="K16" s="36" t="s">
        <v>379</v>
      </c>
      <c r="L16" s="36" t="s">
        <v>195</v>
      </c>
      <c r="M16" s="39" t="s">
        <v>98</v>
      </c>
    </row>
    <row r="17" spans="1:13" ht="20.100000000000001" customHeight="1" x14ac:dyDescent="0.25">
      <c r="A17" s="65">
        <v>73</v>
      </c>
      <c r="B17" s="66" t="s">
        <v>3</v>
      </c>
      <c r="C17" s="66">
        <v>200</v>
      </c>
      <c r="D17" s="67">
        <v>44650</v>
      </c>
      <c r="E17" s="67">
        <v>44626</v>
      </c>
      <c r="F17" s="66" t="s">
        <v>380</v>
      </c>
      <c r="G17" s="66" t="s">
        <v>381</v>
      </c>
      <c r="H17" s="66" t="s">
        <v>382</v>
      </c>
      <c r="I17" s="66" t="s">
        <v>383</v>
      </c>
      <c r="J17" s="66" t="s">
        <v>29</v>
      </c>
      <c r="K17" s="36" t="s">
        <v>384</v>
      </c>
      <c r="L17" s="66" t="s">
        <v>385</v>
      </c>
      <c r="M17" s="68" t="s">
        <v>386</v>
      </c>
    </row>
    <row r="18" spans="1:13" ht="20.100000000000001" customHeight="1" x14ac:dyDescent="0.25">
      <c r="A18" s="35">
        <v>72</v>
      </c>
      <c r="B18" s="36" t="s">
        <v>2</v>
      </c>
      <c r="C18" s="36">
        <v>1198</v>
      </c>
      <c r="D18" s="38">
        <v>44645</v>
      </c>
      <c r="E18" s="38">
        <v>44648</v>
      </c>
      <c r="F18" s="36" t="s">
        <v>378</v>
      </c>
      <c r="G18" s="36" t="s">
        <v>94</v>
      </c>
      <c r="H18" s="36" t="s">
        <v>376</v>
      </c>
      <c r="I18" s="36" t="s">
        <v>377</v>
      </c>
      <c r="J18" s="36" t="s">
        <v>91</v>
      </c>
      <c r="K18" s="36" t="s">
        <v>379</v>
      </c>
      <c r="L18" s="36" t="s">
        <v>126</v>
      </c>
      <c r="M18" s="39" t="s">
        <v>98</v>
      </c>
    </row>
    <row r="19" spans="1:13" ht="20.100000000000001" customHeight="1" x14ac:dyDescent="0.25">
      <c r="A19" s="35">
        <v>71</v>
      </c>
      <c r="B19" s="36" t="s">
        <v>2</v>
      </c>
      <c r="C19" s="36">
        <v>1196</v>
      </c>
      <c r="D19" s="38">
        <v>44645</v>
      </c>
      <c r="E19" s="38">
        <v>44648</v>
      </c>
      <c r="F19" s="36" t="s">
        <v>375</v>
      </c>
      <c r="G19" s="36" t="s">
        <v>94</v>
      </c>
      <c r="H19" s="36" t="s">
        <v>373</v>
      </c>
      <c r="I19" s="36" t="s">
        <v>374</v>
      </c>
      <c r="J19" s="36" t="s">
        <v>91</v>
      </c>
      <c r="K19" s="36" t="s">
        <v>379</v>
      </c>
      <c r="L19" s="36" t="s">
        <v>126</v>
      </c>
      <c r="M19" s="39" t="s">
        <v>98</v>
      </c>
    </row>
    <row r="20" spans="1:13" ht="20.100000000000001" customHeight="1" x14ac:dyDescent="0.25">
      <c r="A20" s="35">
        <v>70</v>
      </c>
      <c r="B20" s="36" t="s">
        <v>2</v>
      </c>
      <c r="C20" s="36">
        <v>1197</v>
      </c>
      <c r="D20" s="38">
        <v>44645</v>
      </c>
      <c r="E20" s="38">
        <v>44648</v>
      </c>
      <c r="F20" s="36" t="s">
        <v>372</v>
      </c>
      <c r="G20" s="36" t="s">
        <v>94</v>
      </c>
      <c r="H20" s="36" t="s">
        <v>370</v>
      </c>
      <c r="I20" s="36" t="s">
        <v>371</v>
      </c>
      <c r="J20" s="36" t="s">
        <v>91</v>
      </c>
      <c r="K20" s="36" t="s">
        <v>379</v>
      </c>
      <c r="L20" s="36" t="s">
        <v>195</v>
      </c>
      <c r="M20" s="39" t="s">
        <v>98</v>
      </c>
    </row>
    <row r="21" spans="1:13" ht="20.100000000000001" customHeight="1" x14ac:dyDescent="0.25">
      <c r="A21" s="35">
        <v>69</v>
      </c>
      <c r="B21" s="36" t="s">
        <v>2</v>
      </c>
      <c r="C21" s="36">
        <v>1194</v>
      </c>
      <c r="D21" s="38">
        <v>44637</v>
      </c>
      <c r="E21" s="38">
        <v>44637</v>
      </c>
      <c r="F21" s="36" t="s">
        <v>369</v>
      </c>
      <c r="G21" s="36" t="s">
        <v>94</v>
      </c>
      <c r="H21" s="36" t="s">
        <v>367</v>
      </c>
      <c r="I21" s="36" t="s">
        <v>368</v>
      </c>
      <c r="J21" s="36" t="s">
        <v>91</v>
      </c>
      <c r="K21" s="36" t="s">
        <v>249</v>
      </c>
      <c r="L21" s="36" t="s">
        <v>195</v>
      </c>
      <c r="M21" s="39" t="s">
        <v>98</v>
      </c>
    </row>
    <row r="22" spans="1:13" ht="20.100000000000001" customHeight="1" x14ac:dyDescent="0.25">
      <c r="A22" s="35">
        <v>68</v>
      </c>
      <c r="B22" s="36" t="s">
        <v>3</v>
      </c>
      <c r="C22" s="36">
        <v>219</v>
      </c>
      <c r="D22" s="38">
        <v>44637</v>
      </c>
      <c r="E22" s="38">
        <v>44642</v>
      </c>
      <c r="F22" s="36" t="s">
        <v>361</v>
      </c>
      <c r="G22" s="36" t="s">
        <v>362</v>
      </c>
      <c r="H22" s="36" t="s">
        <v>363</v>
      </c>
      <c r="I22" s="36" t="s">
        <v>364</v>
      </c>
      <c r="J22" s="36" t="s">
        <v>29</v>
      </c>
      <c r="K22" s="36" t="s">
        <v>365</v>
      </c>
      <c r="L22" s="36" t="s">
        <v>46</v>
      </c>
      <c r="M22" s="39" t="s">
        <v>366</v>
      </c>
    </row>
    <row r="23" spans="1:13" ht="20.100000000000001" customHeight="1" x14ac:dyDescent="0.25">
      <c r="A23" s="35">
        <v>67</v>
      </c>
      <c r="B23" s="36" t="s">
        <v>3</v>
      </c>
      <c r="C23" s="36" t="s">
        <v>355</v>
      </c>
      <c r="D23" s="38">
        <v>44635</v>
      </c>
      <c r="E23" s="38">
        <v>44641</v>
      </c>
      <c r="F23" s="36" t="s">
        <v>356</v>
      </c>
      <c r="G23" s="36" t="s">
        <v>357</v>
      </c>
      <c r="H23" s="36" t="s">
        <v>358</v>
      </c>
      <c r="I23" s="36" t="s">
        <v>359</v>
      </c>
      <c r="J23" s="36" t="s">
        <v>29</v>
      </c>
      <c r="K23" s="36" t="s">
        <v>148</v>
      </c>
      <c r="L23" s="36" t="s">
        <v>46</v>
      </c>
      <c r="M23" s="39" t="s">
        <v>360</v>
      </c>
    </row>
    <row r="24" spans="1:13" ht="20.100000000000001" customHeight="1" x14ac:dyDescent="0.25">
      <c r="A24" s="35">
        <v>66</v>
      </c>
      <c r="B24" s="36" t="s">
        <v>1</v>
      </c>
      <c r="C24" s="36" t="s">
        <v>351</v>
      </c>
      <c r="D24" s="38">
        <v>44634</v>
      </c>
      <c r="E24" s="38">
        <v>44639</v>
      </c>
      <c r="F24" s="36" t="s">
        <v>352</v>
      </c>
      <c r="G24" s="36" t="s">
        <v>94</v>
      </c>
      <c r="H24" s="36" t="s">
        <v>353</v>
      </c>
      <c r="I24" s="36" t="s">
        <v>124</v>
      </c>
      <c r="J24" s="36" t="s">
        <v>91</v>
      </c>
      <c r="K24" s="36" t="s">
        <v>97</v>
      </c>
      <c r="L24" s="36" t="s">
        <v>126</v>
      </c>
      <c r="M24" s="39" t="s">
        <v>354</v>
      </c>
    </row>
    <row r="25" spans="1:13" ht="20.100000000000001" customHeight="1" x14ac:dyDescent="0.25">
      <c r="A25" s="35">
        <v>65</v>
      </c>
      <c r="B25" s="36" t="s">
        <v>2</v>
      </c>
      <c r="C25" s="36">
        <v>1189</v>
      </c>
      <c r="D25" s="38">
        <v>44629</v>
      </c>
      <c r="E25" s="38">
        <v>44629</v>
      </c>
      <c r="F25" s="36" t="s">
        <v>345</v>
      </c>
      <c r="G25" s="36" t="s">
        <v>94</v>
      </c>
      <c r="H25" s="36" t="s">
        <v>346</v>
      </c>
      <c r="I25" s="36" t="s">
        <v>347</v>
      </c>
      <c r="J25" s="36" t="s">
        <v>91</v>
      </c>
      <c r="K25" s="36" t="s">
        <v>97</v>
      </c>
      <c r="L25" s="36" t="s">
        <v>126</v>
      </c>
      <c r="M25" s="39" t="s">
        <v>348</v>
      </c>
    </row>
    <row r="26" spans="1:13" ht="20.100000000000001" customHeight="1" x14ac:dyDescent="0.25">
      <c r="A26" s="35">
        <v>64</v>
      </c>
      <c r="B26" s="36" t="s">
        <v>3</v>
      </c>
      <c r="C26" s="36">
        <v>213</v>
      </c>
      <c r="D26" s="38">
        <v>44630</v>
      </c>
      <c r="E26" s="38">
        <v>44635</v>
      </c>
      <c r="F26" s="36" t="s">
        <v>340</v>
      </c>
      <c r="G26" s="36" t="s">
        <v>341</v>
      </c>
      <c r="H26" s="36" t="s">
        <v>342</v>
      </c>
      <c r="I26" s="36" t="s">
        <v>343</v>
      </c>
      <c r="J26" s="36" t="s">
        <v>29</v>
      </c>
      <c r="K26" s="36" t="s">
        <v>344</v>
      </c>
      <c r="L26" s="36" t="s">
        <v>46</v>
      </c>
      <c r="M26" s="39" t="s">
        <v>115</v>
      </c>
    </row>
    <row r="27" spans="1:13" ht="20.100000000000001" customHeight="1" x14ac:dyDescent="0.25">
      <c r="A27" s="35">
        <v>63</v>
      </c>
      <c r="B27" s="36" t="s">
        <v>2</v>
      </c>
      <c r="C27" s="36">
        <v>1193</v>
      </c>
      <c r="D27" s="38">
        <v>44635</v>
      </c>
      <c r="E27" s="38">
        <v>44635</v>
      </c>
      <c r="F27" s="36" t="s">
        <v>337</v>
      </c>
      <c r="G27" s="36" t="s">
        <v>94</v>
      </c>
      <c r="H27" s="36" t="s">
        <v>338</v>
      </c>
      <c r="I27" s="36" t="s">
        <v>339</v>
      </c>
      <c r="J27" s="36" t="s">
        <v>91</v>
      </c>
      <c r="K27" s="36" t="s">
        <v>97</v>
      </c>
      <c r="L27" s="36" t="s">
        <v>195</v>
      </c>
      <c r="M27" s="39" t="s">
        <v>349</v>
      </c>
    </row>
    <row r="28" spans="1:13" ht="20.100000000000001" customHeight="1" x14ac:dyDescent="0.25">
      <c r="A28" s="35">
        <v>62</v>
      </c>
      <c r="B28" s="36" t="s">
        <v>2</v>
      </c>
      <c r="C28" s="36">
        <v>1192</v>
      </c>
      <c r="D28" s="38">
        <v>44634</v>
      </c>
      <c r="E28" s="38">
        <v>44634</v>
      </c>
      <c r="F28" s="36" t="s">
        <v>334</v>
      </c>
      <c r="G28" s="36" t="s">
        <v>94</v>
      </c>
      <c r="H28" s="36" t="s">
        <v>335</v>
      </c>
      <c r="I28" s="36" t="s">
        <v>336</v>
      </c>
      <c r="J28" s="36" t="s">
        <v>91</v>
      </c>
      <c r="K28" s="36" t="s">
        <v>97</v>
      </c>
      <c r="L28" s="36" t="s">
        <v>195</v>
      </c>
      <c r="M28" s="39" t="s">
        <v>350</v>
      </c>
    </row>
    <row r="29" spans="1:13" ht="20.100000000000001" customHeight="1" x14ac:dyDescent="0.25">
      <c r="A29" s="35">
        <v>61</v>
      </c>
      <c r="B29" s="36" t="s">
        <v>2</v>
      </c>
      <c r="C29" s="36">
        <v>1191</v>
      </c>
      <c r="D29" s="38">
        <v>44632</v>
      </c>
      <c r="E29" s="38">
        <v>44632</v>
      </c>
      <c r="F29" s="36" t="s">
        <v>331</v>
      </c>
      <c r="G29" s="36" t="s">
        <v>94</v>
      </c>
      <c r="H29" s="36" t="s">
        <v>332</v>
      </c>
      <c r="I29" s="36" t="s">
        <v>333</v>
      </c>
      <c r="J29" s="36" t="s">
        <v>91</v>
      </c>
      <c r="K29" s="36" t="s">
        <v>97</v>
      </c>
      <c r="L29" s="36" t="s">
        <v>195</v>
      </c>
      <c r="M29" s="39" t="s">
        <v>350</v>
      </c>
    </row>
    <row r="30" spans="1:13" ht="20.100000000000001" customHeight="1" x14ac:dyDescent="0.25">
      <c r="A30" s="35">
        <v>60</v>
      </c>
      <c r="B30" s="36" t="s">
        <v>2</v>
      </c>
      <c r="C30" s="36">
        <v>1190</v>
      </c>
      <c r="D30" s="38">
        <v>44630</v>
      </c>
      <c r="E30" s="38">
        <v>44630</v>
      </c>
      <c r="F30" s="36" t="s">
        <v>328</v>
      </c>
      <c r="G30" s="36" t="s">
        <v>94</v>
      </c>
      <c r="H30" s="36" t="s">
        <v>329</v>
      </c>
      <c r="I30" s="36" t="s">
        <v>330</v>
      </c>
      <c r="J30" s="36" t="s">
        <v>91</v>
      </c>
      <c r="K30" s="36" t="s">
        <v>97</v>
      </c>
      <c r="L30" s="36" t="s">
        <v>195</v>
      </c>
      <c r="M30" s="39" t="s">
        <v>350</v>
      </c>
    </row>
    <row r="31" spans="1:13" ht="20.100000000000001" customHeight="1" x14ac:dyDescent="0.25">
      <c r="A31" s="35">
        <v>59</v>
      </c>
      <c r="B31" s="36" t="s">
        <v>3</v>
      </c>
      <c r="C31" s="36">
        <v>218</v>
      </c>
      <c r="D31" s="38">
        <v>44629</v>
      </c>
      <c r="E31" s="38">
        <v>44631</v>
      </c>
      <c r="F31" s="36" t="s">
        <v>323</v>
      </c>
      <c r="G31" s="36" t="s">
        <v>324</v>
      </c>
      <c r="H31" s="36" t="s">
        <v>325</v>
      </c>
      <c r="I31" s="36" t="s">
        <v>326</v>
      </c>
      <c r="J31" s="36" t="s">
        <v>29</v>
      </c>
      <c r="K31" s="36" t="s">
        <v>327</v>
      </c>
      <c r="L31" s="36" t="s">
        <v>46</v>
      </c>
      <c r="M31" s="39" t="s">
        <v>322</v>
      </c>
    </row>
    <row r="32" spans="1:13" ht="20.100000000000001" customHeight="1" x14ac:dyDescent="0.25">
      <c r="A32" s="35">
        <v>58</v>
      </c>
      <c r="B32" s="36" t="s">
        <v>3</v>
      </c>
      <c r="C32" s="36">
        <v>217</v>
      </c>
      <c r="D32" s="38">
        <v>44629</v>
      </c>
      <c r="E32" s="38">
        <v>44631</v>
      </c>
      <c r="F32" s="36" t="s">
        <v>317</v>
      </c>
      <c r="G32" s="36" t="s">
        <v>318</v>
      </c>
      <c r="H32" s="36" t="s">
        <v>319</v>
      </c>
      <c r="I32" s="36" t="s">
        <v>320</v>
      </c>
      <c r="J32" s="36" t="s">
        <v>29</v>
      </c>
      <c r="K32" s="36" t="s">
        <v>321</v>
      </c>
      <c r="L32" s="36" t="s">
        <v>46</v>
      </c>
      <c r="M32" s="39" t="s">
        <v>322</v>
      </c>
    </row>
    <row r="33" spans="1:13" ht="20.100000000000001" customHeight="1" x14ac:dyDescent="0.25">
      <c r="A33" s="35">
        <v>57</v>
      </c>
      <c r="B33" s="36" t="s">
        <v>2</v>
      </c>
      <c r="C33" s="36">
        <v>1188</v>
      </c>
      <c r="D33" s="38">
        <v>44629</v>
      </c>
      <c r="E33" s="38">
        <v>44629</v>
      </c>
      <c r="F33" s="36" t="s">
        <v>313</v>
      </c>
      <c r="G33" s="36" t="s">
        <v>94</v>
      </c>
      <c r="H33" s="36" t="s">
        <v>314</v>
      </c>
      <c r="I33" s="36" t="s">
        <v>315</v>
      </c>
      <c r="J33" s="36" t="s">
        <v>91</v>
      </c>
      <c r="K33" s="36" t="s">
        <v>97</v>
      </c>
      <c r="L33" s="36" t="s">
        <v>195</v>
      </c>
      <c r="M33" s="39" t="s">
        <v>312</v>
      </c>
    </row>
    <row r="34" spans="1:13" ht="20.100000000000001" customHeight="1" x14ac:dyDescent="0.25">
      <c r="A34" s="35">
        <v>56</v>
      </c>
      <c r="B34" s="36" t="s">
        <v>2</v>
      </c>
      <c r="C34" s="36">
        <v>1187</v>
      </c>
      <c r="D34" s="38">
        <v>44628</v>
      </c>
      <c r="E34" s="38">
        <v>44628</v>
      </c>
      <c r="F34" s="36" t="s">
        <v>309</v>
      </c>
      <c r="G34" s="36" t="s">
        <v>94</v>
      </c>
      <c r="H34" s="36" t="s">
        <v>310</v>
      </c>
      <c r="I34" s="36" t="s">
        <v>311</v>
      </c>
      <c r="J34" s="36" t="s">
        <v>91</v>
      </c>
      <c r="K34" s="36" t="s">
        <v>97</v>
      </c>
      <c r="L34" s="36" t="s">
        <v>195</v>
      </c>
      <c r="M34" s="39" t="s">
        <v>312</v>
      </c>
    </row>
    <row r="35" spans="1:13" ht="20.100000000000001" customHeight="1" x14ac:dyDescent="0.25">
      <c r="A35" s="35">
        <v>55</v>
      </c>
      <c r="B35" s="36" t="s">
        <v>2</v>
      </c>
      <c r="C35" s="36">
        <v>1186</v>
      </c>
      <c r="D35" s="38">
        <v>44627</v>
      </c>
      <c r="E35" s="38">
        <v>44627</v>
      </c>
      <c r="F35" s="36" t="s">
        <v>306</v>
      </c>
      <c r="G35" s="36" t="s">
        <v>94</v>
      </c>
      <c r="H35" s="36" t="s">
        <v>307</v>
      </c>
      <c r="I35" s="36" t="s">
        <v>308</v>
      </c>
      <c r="J35" s="36" t="s">
        <v>91</v>
      </c>
      <c r="K35" s="36" t="s">
        <v>97</v>
      </c>
      <c r="L35" s="36" t="s">
        <v>195</v>
      </c>
      <c r="M35" s="39" t="s">
        <v>316</v>
      </c>
    </row>
    <row r="36" spans="1:13" ht="20.100000000000001" customHeight="1" x14ac:dyDescent="0.25">
      <c r="A36" s="35">
        <v>54</v>
      </c>
      <c r="B36" s="36" t="s">
        <v>3</v>
      </c>
      <c r="C36" s="36">
        <v>216</v>
      </c>
      <c r="D36" s="38">
        <v>44626</v>
      </c>
      <c r="E36" s="38">
        <v>44627</v>
      </c>
      <c r="F36" s="36" t="s">
        <v>299</v>
      </c>
      <c r="G36" s="36" t="s">
        <v>300</v>
      </c>
      <c r="H36" s="36" t="s">
        <v>301</v>
      </c>
      <c r="I36" s="36" t="s">
        <v>302</v>
      </c>
      <c r="J36" s="36" t="s">
        <v>29</v>
      </c>
      <c r="K36" s="36" t="s">
        <v>303</v>
      </c>
      <c r="L36" s="36" t="s">
        <v>46</v>
      </c>
      <c r="M36" s="39" t="s">
        <v>305</v>
      </c>
    </row>
    <row r="37" spans="1:13" ht="20.100000000000001" customHeight="1" x14ac:dyDescent="0.25">
      <c r="A37" s="35">
        <v>53</v>
      </c>
      <c r="B37" s="36" t="s">
        <v>3</v>
      </c>
      <c r="C37" s="36">
        <v>215</v>
      </c>
      <c r="D37" s="38">
        <v>44621</v>
      </c>
      <c r="E37" s="38">
        <v>44597</v>
      </c>
      <c r="F37" s="36" t="s">
        <v>294</v>
      </c>
      <c r="G37" s="36" t="s">
        <v>295</v>
      </c>
      <c r="H37" s="36" t="s">
        <v>296</v>
      </c>
      <c r="I37" s="36" t="s">
        <v>297</v>
      </c>
      <c r="J37" s="36" t="s">
        <v>29</v>
      </c>
      <c r="K37" s="36" t="s">
        <v>298</v>
      </c>
      <c r="L37" s="36" t="s">
        <v>46</v>
      </c>
      <c r="M37" s="39" t="s">
        <v>304</v>
      </c>
    </row>
    <row r="38" spans="1:13" ht="20.100000000000001" customHeight="1" x14ac:dyDescent="0.25">
      <c r="A38" s="35">
        <v>52</v>
      </c>
      <c r="B38" s="36" t="s">
        <v>3</v>
      </c>
      <c r="C38" s="36">
        <v>214</v>
      </c>
      <c r="D38" s="38">
        <v>44620</v>
      </c>
      <c r="E38" s="38">
        <v>44623</v>
      </c>
      <c r="F38" s="36" t="s">
        <v>289</v>
      </c>
      <c r="G38" s="36" t="s">
        <v>290</v>
      </c>
      <c r="H38" s="36" t="s">
        <v>291</v>
      </c>
      <c r="I38" s="36" t="s">
        <v>292</v>
      </c>
      <c r="J38" s="36" t="s">
        <v>29</v>
      </c>
      <c r="K38" s="36" t="s">
        <v>148</v>
      </c>
      <c r="L38" s="36" t="s">
        <v>46</v>
      </c>
      <c r="M38" s="39" t="s">
        <v>293</v>
      </c>
    </row>
    <row r="39" spans="1:13" ht="20.100000000000001" customHeight="1" x14ac:dyDescent="0.25">
      <c r="A39" s="35">
        <v>51</v>
      </c>
      <c r="B39" s="36" t="s">
        <v>2</v>
      </c>
      <c r="C39" s="36">
        <v>1184</v>
      </c>
      <c r="D39" s="38">
        <v>44621</v>
      </c>
      <c r="E39" s="38">
        <v>44621</v>
      </c>
      <c r="F39" s="36" t="s">
        <v>283</v>
      </c>
      <c r="G39" s="36" t="s">
        <v>94</v>
      </c>
      <c r="H39" s="36" t="s">
        <v>284</v>
      </c>
      <c r="I39" s="36" t="s">
        <v>285</v>
      </c>
      <c r="J39" s="36" t="s">
        <v>91</v>
      </c>
      <c r="K39" s="36" t="s">
        <v>97</v>
      </c>
      <c r="L39" s="36" t="s">
        <v>195</v>
      </c>
      <c r="M39" s="39" t="s">
        <v>286</v>
      </c>
    </row>
    <row r="40" spans="1:13" ht="20.100000000000001" customHeight="1" x14ac:dyDescent="0.25">
      <c r="A40" s="35">
        <v>50</v>
      </c>
      <c r="B40" s="36" t="s">
        <v>2</v>
      </c>
      <c r="C40" s="36">
        <v>1175</v>
      </c>
      <c r="D40" s="38">
        <v>44608</v>
      </c>
      <c r="E40" s="38">
        <v>44608</v>
      </c>
      <c r="F40" s="36" t="s">
        <v>279</v>
      </c>
      <c r="G40" s="36" t="s">
        <v>94</v>
      </c>
      <c r="H40" s="36" t="s">
        <v>280</v>
      </c>
      <c r="I40" s="36" t="s">
        <v>281</v>
      </c>
      <c r="J40" s="36" t="s">
        <v>91</v>
      </c>
      <c r="K40" s="36" t="s">
        <v>97</v>
      </c>
      <c r="L40" s="36" t="s">
        <v>195</v>
      </c>
      <c r="M40" s="39" t="s">
        <v>282</v>
      </c>
    </row>
    <row r="41" spans="1:13" ht="20.100000000000001" customHeight="1" x14ac:dyDescent="0.25">
      <c r="A41" s="35">
        <v>49</v>
      </c>
      <c r="B41" s="36" t="s">
        <v>2</v>
      </c>
      <c r="C41" s="36">
        <v>1185</v>
      </c>
      <c r="D41" s="38">
        <v>44618</v>
      </c>
      <c r="E41" s="38">
        <v>44618</v>
      </c>
      <c r="F41" s="36" t="s">
        <v>276</v>
      </c>
      <c r="G41" s="36" t="s">
        <v>94</v>
      </c>
      <c r="H41" s="36" t="s">
        <v>277</v>
      </c>
      <c r="I41" s="36" t="s">
        <v>278</v>
      </c>
      <c r="J41" s="36" t="s">
        <v>91</v>
      </c>
      <c r="K41" s="36" t="s">
        <v>97</v>
      </c>
      <c r="L41" s="36" t="s">
        <v>195</v>
      </c>
      <c r="M41" s="39" t="s">
        <v>272</v>
      </c>
    </row>
    <row r="42" spans="1:13" ht="20.100000000000001" customHeight="1" x14ac:dyDescent="0.25">
      <c r="A42" s="35">
        <v>48</v>
      </c>
      <c r="B42" s="36" t="s">
        <v>2</v>
      </c>
      <c r="C42" s="36">
        <v>1183</v>
      </c>
      <c r="D42" s="38">
        <v>44615</v>
      </c>
      <c r="E42" s="38">
        <v>44615</v>
      </c>
      <c r="F42" s="36" t="s">
        <v>273</v>
      </c>
      <c r="G42" s="36" t="s">
        <v>94</v>
      </c>
      <c r="H42" s="36" t="s">
        <v>274</v>
      </c>
      <c r="I42" s="36" t="s">
        <v>275</v>
      </c>
      <c r="J42" s="36" t="s">
        <v>91</v>
      </c>
      <c r="K42" s="36" t="s">
        <v>97</v>
      </c>
      <c r="L42" s="36" t="s">
        <v>195</v>
      </c>
      <c r="M42" s="39" t="s">
        <v>272</v>
      </c>
    </row>
    <row r="43" spans="1:13" ht="20.100000000000001" customHeight="1" x14ac:dyDescent="0.25">
      <c r="A43" s="35">
        <v>47</v>
      </c>
      <c r="B43" s="36" t="s">
        <v>2</v>
      </c>
      <c r="C43" s="36">
        <v>1182</v>
      </c>
      <c r="D43" s="38">
        <v>44614</v>
      </c>
      <c r="E43" s="38">
        <v>44614</v>
      </c>
      <c r="F43" s="36" t="s">
        <v>269</v>
      </c>
      <c r="G43" s="36" t="s">
        <v>94</v>
      </c>
      <c r="H43" s="36" t="s">
        <v>270</v>
      </c>
      <c r="I43" s="36" t="s">
        <v>271</v>
      </c>
      <c r="J43" s="36" t="s">
        <v>91</v>
      </c>
      <c r="K43" s="36" t="s">
        <v>97</v>
      </c>
      <c r="L43" s="36" t="s">
        <v>195</v>
      </c>
      <c r="M43" s="39" t="s">
        <v>272</v>
      </c>
    </row>
    <row r="44" spans="1:13" ht="20.100000000000001" customHeight="1" x14ac:dyDescent="0.25">
      <c r="A44" s="35">
        <v>46</v>
      </c>
      <c r="B44" s="36" t="s">
        <v>2</v>
      </c>
      <c r="C44" s="36">
        <v>1180</v>
      </c>
      <c r="D44" s="38">
        <v>44617</v>
      </c>
      <c r="E44" s="38">
        <v>44617</v>
      </c>
      <c r="F44" s="36" t="s">
        <v>265</v>
      </c>
      <c r="G44" s="36" t="s">
        <v>94</v>
      </c>
      <c r="H44" s="36" t="s">
        <v>266</v>
      </c>
      <c r="I44" s="36" t="s">
        <v>267</v>
      </c>
      <c r="J44" s="36" t="s">
        <v>91</v>
      </c>
      <c r="K44" s="36" t="s">
        <v>97</v>
      </c>
      <c r="L44" s="36" t="s">
        <v>195</v>
      </c>
      <c r="M44" s="39" t="s">
        <v>268</v>
      </c>
    </row>
    <row r="45" spans="1:13" ht="20.100000000000001" customHeight="1" x14ac:dyDescent="0.25">
      <c r="A45" s="35">
        <v>45</v>
      </c>
      <c r="B45" s="36" t="s">
        <v>2</v>
      </c>
      <c r="C45" s="36">
        <v>1181</v>
      </c>
      <c r="D45" s="38">
        <v>44613</v>
      </c>
      <c r="E45" s="38">
        <v>44613</v>
      </c>
      <c r="F45" s="36" t="s">
        <v>261</v>
      </c>
      <c r="G45" s="36" t="s">
        <v>94</v>
      </c>
      <c r="H45" s="36" t="s">
        <v>262</v>
      </c>
      <c r="I45" s="36" t="s">
        <v>263</v>
      </c>
      <c r="J45" s="36" t="s">
        <v>91</v>
      </c>
      <c r="K45" s="36" t="s">
        <v>97</v>
      </c>
      <c r="L45" s="36" t="s">
        <v>195</v>
      </c>
      <c r="M45" s="39" t="s">
        <v>264</v>
      </c>
    </row>
    <row r="46" spans="1:13" ht="20.100000000000001" customHeight="1" x14ac:dyDescent="0.25">
      <c r="A46" s="35">
        <v>44</v>
      </c>
      <c r="B46" s="36" t="s">
        <v>3</v>
      </c>
      <c r="C46" s="36">
        <v>212</v>
      </c>
      <c r="D46" s="38">
        <v>44616</v>
      </c>
      <c r="E46" s="38">
        <v>44618</v>
      </c>
      <c r="F46" s="36" t="s">
        <v>256</v>
      </c>
      <c r="G46" s="36" t="s">
        <v>257</v>
      </c>
      <c r="H46" s="36" t="s">
        <v>258</v>
      </c>
      <c r="I46" s="36" t="s">
        <v>259</v>
      </c>
      <c r="J46" s="36" t="s">
        <v>29</v>
      </c>
      <c r="K46" s="36" t="s">
        <v>260</v>
      </c>
      <c r="L46" s="36" t="s">
        <v>46</v>
      </c>
      <c r="M46" s="39" t="s">
        <v>288</v>
      </c>
    </row>
    <row r="47" spans="1:13" ht="20.100000000000001" customHeight="1" x14ac:dyDescent="0.25">
      <c r="A47" s="35">
        <v>43</v>
      </c>
      <c r="B47" s="36" t="s">
        <v>3</v>
      </c>
      <c r="C47" s="36">
        <v>211</v>
      </c>
      <c r="D47" s="38">
        <v>44615</v>
      </c>
      <c r="E47" s="38">
        <v>44618</v>
      </c>
      <c r="F47" s="36" t="s">
        <v>250</v>
      </c>
      <c r="G47" s="36" t="s">
        <v>251</v>
      </c>
      <c r="H47" s="36" t="s">
        <v>252</v>
      </c>
      <c r="I47" s="36" t="s">
        <v>253</v>
      </c>
      <c r="J47" s="36" t="s">
        <v>29</v>
      </c>
      <c r="K47" s="36" t="s">
        <v>254</v>
      </c>
      <c r="L47" s="36" t="s">
        <v>46</v>
      </c>
      <c r="M47" s="39" t="s">
        <v>255</v>
      </c>
    </row>
    <row r="48" spans="1:13" ht="20.100000000000001" customHeight="1" x14ac:dyDescent="0.25">
      <c r="A48" s="35">
        <v>42</v>
      </c>
      <c r="B48" s="36" t="s">
        <v>2</v>
      </c>
      <c r="C48" s="36">
        <v>1179</v>
      </c>
      <c r="D48" s="38">
        <v>44610</v>
      </c>
      <c r="E48" s="38">
        <v>44610</v>
      </c>
      <c r="F48" s="36" t="s">
        <v>246</v>
      </c>
      <c r="G48" s="36" t="s">
        <v>94</v>
      </c>
      <c r="H48" s="36" t="s">
        <v>247</v>
      </c>
      <c r="I48" s="36" t="s">
        <v>248</v>
      </c>
      <c r="J48" s="36" t="s">
        <v>91</v>
      </c>
      <c r="K48" s="36" t="s">
        <v>97</v>
      </c>
      <c r="L48" s="36" t="s">
        <v>195</v>
      </c>
      <c r="M48" s="39" t="s">
        <v>98</v>
      </c>
    </row>
    <row r="49" spans="1:13" ht="20.100000000000001" customHeight="1" x14ac:dyDescent="0.25">
      <c r="A49" s="35">
        <v>41</v>
      </c>
      <c r="B49" s="36" t="s">
        <v>3</v>
      </c>
      <c r="C49" s="36">
        <v>210</v>
      </c>
      <c r="D49" s="38">
        <v>44608</v>
      </c>
      <c r="E49" s="38">
        <v>44613</v>
      </c>
      <c r="F49" s="36" t="s">
        <v>242</v>
      </c>
      <c r="G49" s="36" t="s">
        <v>243</v>
      </c>
      <c r="H49" s="36" t="s">
        <v>244</v>
      </c>
      <c r="I49" s="36" t="s">
        <v>245</v>
      </c>
      <c r="J49" s="36" t="s">
        <v>29</v>
      </c>
      <c r="K49" s="36" t="s">
        <v>249</v>
      </c>
      <c r="L49" s="36" t="s">
        <v>46</v>
      </c>
      <c r="M49" s="39" t="s">
        <v>153</v>
      </c>
    </row>
    <row r="50" spans="1:13" ht="20.100000000000001" customHeight="1" x14ac:dyDescent="0.25">
      <c r="A50" s="35">
        <v>40</v>
      </c>
      <c r="B50" s="36" t="s">
        <v>2</v>
      </c>
      <c r="C50" s="36">
        <v>1178</v>
      </c>
      <c r="D50" s="38">
        <v>44608</v>
      </c>
      <c r="E50" s="38">
        <v>44609</v>
      </c>
      <c r="F50" s="36" t="s">
        <v>239</v>
      </c>
      <c r="G50" s="36" t="s">
        <v>94</v>
      </c>
      <c r="H50" s="36" t="s">
        <v>240</v>
      </c>
      <c r="I50" s="36" t="s">
        <v>241</v>
      </c>
      <c r="J50" s="36" t="s">
        <v>91</v>
      </c>
      <c r="K50" s="36" t="s">
        <v>97</v>
      </c>
      <c r="L50" s="36" t="s">
        <v>126</v>
      </c>
      <c r="M50" s="39" t="s">
        <v>98</v>
      </c>
    </row>
    <row r="51" spans="1:13" ht="20.100000000000001" customHeight="1" x14ac:dyDescent="0.25">
      <c r="A51" s="35">
        <v>39</v>
      </c>
      <c r="B51" s="36" t="s">
        <v>2</v>
      </c>
      <c r="C51" s="36">
        <v>1177</v>
      </c>
      <c r="D51" s="38">
        <v>44607</v>
      </c>
      <c r="E51" s="38">
        <v>44607</v>
      </c>
      <c r="F51" s="36" t="s">
        <v>236</v>
      </c>
      <c r="G51" s="36" t="s">
        <v>94</v>
      </c>
      <c r="H51" s="36" t="s">
        <v>237</v>
      </c>
      <c r="I51" s="36" t="s">
        <v>238</v>
      </c>
      <c r="J51" s="36" t="s">
        <v>91</v>
      </c>
      <c r="K51" s="36" t="s">
        <v>97</v>
      </c>
      <c r="L51" s="36" t="s">
        <v>126</v>
      </c>
      <c r="M51" s="39" t="s">
        <v>98</v>
      </c>
    </row>
    <row r="52" spans="1:13" ht="20.100000000000001" customHeight="1" x14ac:dyDescent="0.25">
      <c r="A52" s="35">
        <v>38</v>
      </c>
      <c r="B52" s="36" t="s">
        <v>3</v>
      </c>
      <c r="C52" s="36">
        <v>209</v>
      </c>
      <c r="D52" s="38">
        <v>44606</v>
      </c>
      <c r="E52" s="38">
        <v>44609</v>
      </c>
      <c r="F52" s="36" t="s">
        <v>230</v>
      </c>
      <c r="G52" s="36" t="s">
        <v>231</v>
      </c>
      <c r="H52" s="36" t="s">
        <v>232</v>
      </c>
      <c r="I52" s="36" t="s">
        <v>233</v>
      </c>
      <c r="J52" s="36" t="s">
        <v>29</v>
      </c>
      <c r="K52" s="36" t="s">
        <v>234</v>
      </c>
      <c r="L52" s="36" t="s">
        <v>46</v>
      </c>
      <c r="M52" s="39" t="s">
        <v>235</v>
      </c>
    </row>
    <row r="53" spans="1:13" ht="20.100000000000001" customHeight="1" x14ac:dyDescent="0.25">
      <c r="A53" s="35">
        <v>37</v>
      </c>
      <c r="B53" s="36" t="s">
        <v>2</v>
      </c>
      <c r="C53" s="36">
        <v>1176</v>
      </c>
      <c r="D53" s="38">
        <v>44604</v>
      </c>
      <c r="E53" s="38">
        <v>44606</v>
      </c>
      <c r="F53" s="36" t="s">
        <v>226</v>
      </c>
      <c r="G53" s="36" t="s">
        <v>94</v>
      </c>
      <c r="H53" s="36" t="s">
        <v>227</v>
      </c>
      <c r="I53" s="36" t="s">
        <v>228</v>
      </c>
      <c r="J53" s="36" t="s">
        <v>91</v>
      </c>
      <c r="K53" s="36" t="s">
        <v>97</v>
      </c>
      <c r="L53" s="36" t="s">
        <v>126</v>
      </c>
      <c r="M53" s="39" t="s">
        <v>98</v>
      </c>
    </row>
    <row r="54" spans="1:13" ht="20.100000000000001" customHeight="1" x14ac:dyDescent="0.25">
      <c r="A54" s="35">
        <v>36</v>
      </c>
      <c r="B54" s="36" t="s">
        <v>2</v>
      </c>
      <c r="C54" s="36">
        <v>1174</v>
      </c>
      <c r="D54" s="38">
        <v>44602</v>
      </c>
      <c r="E54" s="38">
        <v>44603</v>
      </c>
      <c r="F54" s="36" t="s">
        <v>223</v>
      </c>
      <c r="G54" s="36" t="s">
        <v>94</v>
      </c>
      <c r="H54" s="36" t="s">
        <v>224</v>
      </c>
      <c r="I54" s="36" t="s">
        <v>225</v>
      </c>
      <c r="J54" s="36" t="s">
        <v>91</v>
      </c>
      <c r="K54" s="36" t="s">
        <v>97</v>
      </c>
      <c r="L54" s="36" t="s">
        <v>195</v>
      </c>
      <c r="M54" s="39" t="s">
        <v>229</v>
      </c>
    </row>
    <row r="55" spans="1:13" ht="20.100000000000001" customHeight="1" x14ac:dyDescent="0.25">
      <c r="A55" s="35">
        <v>35</v>
      </c>
      <c r="B55" s="36" t="s">
        <v>2</v>
      </c>
      <c r="C55" s="36">
        <v>1173</v>
      </c>
      <c r="D55" s="38">
        <v>44601</v>
      </c>
      <c r="E55" s="38">
        <v>44602</v>
      </c>
      <c r="F55" s="36" t="s">
        <v>220</v>
      </c>
      <c r="G55" s="36" t="s">
        <v>94</v>
      </c>
      <c r="H55" s="36" t="s">
        <v>221</v>
      </c>
      <c r="I55" s="36" t="s">
        <v>222</v>
      </c>
      <c r="J55" s="36" t="s">
        <v>91</v>
      </c>
      <c r="K55" s="36" t="s">
        <v>97</v>
      </c>
      <c r="L55" s="36" t="s">
        <v>195</v>
      </c>
      <c r="M55" s="39" t="s">
        <v>98</v>
      </c>
    </row>
    <row r="56" spans="1:13" ht="20.100000000000001" customHeight="1" x14ac:dyDescent="0.25">
      <c r="A56" s="35">
        <v>34</v>
      </c>
      <c r="B56" s="36" t="s">
        <v>2</v>
      </c>
      <c r="C56" s="36">
        <v>1172</v>
      </c>
      <c r="D56" s="38">
        <v>44601</v>
      </c>
      <c r="E56" s="38">
        <v>44602</v>
      </c>
      <c r="F56" s="36" t="s">
        <v>217</v>
      </c>
      <c r="G56" s="36" t="s">
        <v>94</v>
      </c>
      <c r="H56" s="36" t="s">
        <v>218</v>
      </c>
      <c r="I56" s="36" t="s">
        <v>219</v>
      </c>
      <c r="J56" s="36" t="s">
        <v>91</v>
      </c>
      <c r="K56" s="36" t="s">
        <v>97</v>
      </c>
      <c r="L56" s="36" t="s">
        <v>195</v>
      </c>
      <c r="M56" s="39" t="s">
        <v>98</v>
      </c>
    </row>
    <row r="57" spans="1:13" ht="20.100000000000001" customHeight="1" x14ac:dyDescent="0.25">
      <c r="A57" s="35">
        <v>33</v>
      </c>
      <c r="B57" s="36" t="s">
        <v>2</v>
      </c>
      <c r="C57" s="36">
        <v>1171</v>
      </c>
      <c r="D57" s="38">
        <v>44600</v>
      </c>
      <c r="E57" s="38">
        <v>44601</v>
      </c>
      <c r="F57" s="36" t="s">
        <v>214</v>
      </c>
      <c r="G57" s="36" t="s">
        <v>94</v>
      </c>
      <c r="H57" s="36" t="s">
        <v>215</v>
      </c>
      <c r="I57" s="36" t="s">
        <v>216</v>
      </c>
      <c r="J57" s="36" t="s">
        <v>91</v>
      </c>
      <c r="K57" s="36" t="s">
        <v>97</v>
      </c>
      <c r="L57" s="36" t="s">
        <v>126</v>
      </c>
      <c r="M57" s="39" t="s">
        <v>98</v>
      </c>
    </row>
    <row r="58" spans="1:13" ht="20.100000000000001" customHeight="1" x14ac:dyDescent="0.25">
      <c r="A58" s="35">
        <v>32</v>
      </c>
      <c r="B58" s="36" t="s">
        <v>2</v>
      </c>
      <c r="C58" s="36">
        <v>1167</v>
      </c>
      <c r="D58" s="38">
        <v>44594</v>
      </c>
      <c r="E58" s="38">
        <v>44595</v>
      </c>
      <c r="F58" s="36" t="s">
        <v>213</v>
      </c>
      <c r="G58" s="36" t="s">
        <v>94</v>
      </c>
      <c r="H58" s="36" t="s">
        <v>209</v>
      </c>
      <c r="I58" s="36" t="s">
        <v>210</v>
      </c>
      <c r="J58" s="36" t="s">
        <v>91</v>
      </c>
      <c r="K58" s="36" t="s">
        <v>97</v>
      </c>
      <c r="L58" s="36" t="s">
        <v>126</v>
      </c>
      <c r="M58" s="39" t="s">
        <v>98</v>
      </c>
    </row>
    <row r="59" spans="1:13" ht="20.100000000000001" customHeight="1" x14ac:dyDescent="0.25">
      <c r="A59" s="35">
        <v>31</v>
      </c>
      <c r="B59" s="36" t="s">
        <v>2</v>
      </c>
      <c r="C59" s="36">
        <v>1169</v>
      </c>
      <c r="D59" s="38">
        <v>44598</v>
      </c>
      <c r="E59" s="38">
        <v>44599</v>
      </c>
      <c r="F59" s="36" t="s">
        <v>208</v>
      </c>
      <c r="G59" s="36" t="s">
        <v>94</v>
      </c>
      <c r="H59" s="36" t="s">
        <v>211</v>
      </c>
      <c r="I59" s="36" t="s">
        <v>212</v>
      </c>
      <c r="J59" s="36" t="s">
        <v>91</v>
      </c>
      <c r="K59" s="36" t="s">
        <v>97</v>
      </c>
      <c r="L59" s="36" t="s">
        <v>126</v>
      </c>
      <c r="M59" s="39" t="s">
        <v>137</v>
      </c>
    </row>
    <row r="60" spans="1:13" ht="20.100000000000001" customHeight="1" x14ac:dyDescent="0.25">
      <c r="A60" s="35">
        <v>30</v>
      </c>
      <c r="B60" s="36" t="s">
        <v>3</v>
      </c>
      <c r="C60" s="36">
        <v>209</v>
      </c>
      <c r="D60" s="38">
        <v>44596</v>
      </c>
      <c r="E60" s="38">
        <v>44601</v>
      </c>
      <c r="F60" s="36" t="s">
        <v>202</v>
      </c>
      <c r="G60" s="36" t="s">
        <v>203</v>
      </c>
      <c r="H60" s="36" t="s">
        <v>204</v>
      </c>
      <c r="I60" s="36" t="s">
        <v>205</v>
      </c>
      <c r="J60" s="36" t="s">
        <v>29</v>
      </c>
      <c r="K60" s="36" t="s">
        <v>206</v>
      </c>
      <c r="L60" s="36" t="s">
        <v>46</v>
      </c>
      <c r="M60" s="39" t="s">
        <v>207</v>
      </c>
    </row>
    <row r="61" spans="1:13" ht="20.100000000000001" customHeight="1" x14ac:dyDescent="0.25">
      <c r="A61" s="35">
        <v>29</v>
      </c>
      <c r="B61" s="36" t="s">
        <v>2</v>
      </c>
      <c r="C61" s="36">
        <v>1170</v>
      </c>
      <c r="D61" s="38">
        <v>44598</v>
      </c>
      <c r="E61" s="38">
        <v>44599</v>
      </c>
      <c r="F61" s="36" t="s">
        <v>199</v>
      </c>
      <c r="G61" s="36" t="s">
        <v>94</v>
      </c>
      <c r="H61" s="36" t="s">
        <v>200</v>
      </c>
      <c r="I61" s="36" t="s">
        <v>201</v>
      </c>
      <c r="J61" s="36" t="s">
        <v>91</v>
      </c>
      <c r="K61" s="36" t="s">
        <v>97</v>
      </c>
      <c r="L61" s="36" t="s">
        <v>195</v>
      </c>
      <c r="M61" s="39" t="s">
        <v>153</v>
      </c>
    </row>
    <row r="62" spans="1:13" ht="20.100000000000001" customHeight="1" x14ac:dyDescent="0.25">
      <c r="A62" s="35">
        <v>28</v>
      </c>
      <c r="B62" s="36" t="s">
        <v>2</v>
      </c>
      <c r="C62" s="36">
        <v>1168</v>
      </c>
      <c r="D62" s="38">
        <v>44597</v>
      </c>
      <c r="E62" s="38">
        <v>44598</v>
      </c>
      <c r="F62" s="36" t="s">
        <v>196</v>
      </c>
      <c r="G62" s="36" t="s">
        <v>94</v>
      </c>
      <c r="H62" s="36" t="s">
        <v>197</v>
      </c>
      <c r="I62" s="36" t="s">
        <v>198</v>
      </c>
      <c r="J62" s="36" t="s">
        <v>91</v>
      </c>
      <c r="K62" s="36" t="s">
        <v>97</v>
      </c>
      <c r="L62" s="36" t="s">
        <v>195</v>
      </c>
      <c r="M62" s="39" t="s">
        <v>98</v>
      </c>
    </row>
    <row r="63" spans="1:13" ht="20.100000000000001" customHeight="1" x14ac:dyDescent="0.25">
      <c r="A63" s="35">
        <v>27</v>
      </c>
      <c r="B63" s="36" t="s">
        <v>1</v>
      </c>
      <c r="C63" s="36">
        <v>378</v>
      </c>
      <c r="D63" s="38">
        <v>44596</v>
      </c>
      <c r="E63" s="38">
        <v>44597</v>
      </c>
      <c r="F63" s="36" t="s">
        <v>192</v>
      </c>
      <c r="G63" s="36" t="s">
        <v>94</v>
      </c>
      <c r="H63" s="36" t="s">
        <v>193</v>
      </c>
      <c r="I63" s="36" t="s">
        <v>124</v>
      </c>
      <c r="J63" s="36" t="s">
        <v>91</v>
      </c>
      <c r="K63" s="36" t="s">
        <v>97</v>
      </c>
      <c r="L63" s="36" t="s">
        <v>92</v>
      </c>
      <c r="M63" s="39" t="s">
        <v>194</v>
      </c>
    </row>
    <row r="64" spans="1:13" ht="20.100000000000001" customHeight="1" x14ac:dyDescent="0.25">
      <c r="A64" s="35">
        <v>26</v>
      </c>
      <c r="B64" s="36" t="s">
        <v>3</v>
      </c>
      <c r="C64" s="36">
        <v>207</v>
      </c>
      <c r="D64" s="38">
        <v>44593</v>
      </c>
      <c r="E64" s="38">
        <v>44596</v>
      </c>
      <c r="F64" s="36" t="s">
        <v>185</v>
      </c>
      <c r="G64" s="36" t="s">
        <v>186</v>
      </c>
      <c r="H64" s="36" t="s">
        <v>187</v>
      </c>
      <c r="I64" s="36" t="s">
        <v>187</v>
      </c>
      <c r="J64" s="36" t="s">
        <v>29</v>
      </c>
      <c r="K64" s="36" t="s">
        <v>188</v>
      </c>
      <c r="L64" s="36" t="s">
        <v>46</v>
      </c>
      <c r="M64" s="39" t="s">
        <v>189</v>
      </c>
    </row>
    <row r="65" spans="1:13" ht="20.100000000000001" customHeight="1" x14ac:dyDescent="0.25">
      <c r="A65" s="35">
        <v>25</v>
      </c>
      <c r="B65" s="36" t="s">
        <v>2</v>
      </c>
      <c r="C65" s="36">
        <v>1166</v>
      </c>
      <c r="D65" s="38">
        <v>44594</v>
      </c>
      <c r="E65" s="38">
        <v>44594</v>
      </c>
      <c r="F65" s="36" t="s">
        <v>183</v>
      </c>
      <c r="G65" s="36" t="s">
        <v>94</v>
      </c>
      <c r="H65" s="36" t="s">
        <v>155</v>
      </c>
      <c r="I65" s="36" t="s">
        <v>184</v>
      </c>
      <c r="J65" s="36" t="s">
        <v>91</v>
      </c>
      <c r="K65" s="36" t="s">
        <v>97</v>
      </c>
      <c r="L65" s="36" t="s">
        <v>126</v>
      </c>
      <c r="M65" s="39" t="s">
        <v>153</v>
      </c>
    </row>
    <row r="66" spans="1:13" ht="20.100000000000001" customHeight="1" x14ac:dyDescent="0.25">
      <c r="A66" s="35">
        <v>24</v>
      </c>
      <c r="B66" s="36" t="s">
        <v>2</v>
      </c>
      <c r="C66" s="36">
        <v>1165</v>
      </c>
      <c r="D66" s="38">
        <v>44591</v>
      </c>
      <c r="E66" s="38">
        <v>44591</v>
      </c>
      <c r="F66" s="36" t="s">
        <v>180</v>
      </c>
      <c r="G66" s="36" t="s">
        <v>94</v>
      </c>
      <c r="H66" s="36" t="s">
        <v>181</v>
      </c>
      <c r="I66" s="36" t="s">
        <v>182</v>
      </c>
      <c r="J66" s="36" t="s">
        <v>91</v>
      </c>
      <c r="K66" s="36" t="s">
        <v>97</v>
      </c>
      <c r="L66" s="36" t="s">
        <v>126</v>
      </c>
      <c r="M66" s="39" t="s">
        <v>153</v>
      </c>
    </row>
    <row r="67" spans="1:13" ht="20.100000000000001" customHeight="1" x14ac:dyDescent="0.25">
      <c r="A67" s="35">
        <v>23</v>
      </c>
      <c r="B67" s="36" t="s">
        <v>2</v>
      </c>
      <c r="C67" s="36">
        <v>1164</v>
      </c>
      <c r="D67" s="38">
        <v>44591</v>
      </c>
      <c r="E67" s="38">
        <v>44591</v>
      </c>
      <c r="F67" s="36" t="s">
        <v>177</v>
      </c>
      <c r="G67" s="36" t="s">
        <v>94</v>
      </c>
      <c r="H67" s="36" t="s">
        <v>178</v>
      </c>
      <c r="I67" s="36" t="s">
        <v>179</v>
      </c>
      <c r="J67" s="36" t="s">
        <v>91</v>
      </c>
      <c r="K67" s="36" t="s">
        <v>97</v>
      </c>
      <c r="L67" s="36" t="s">
        <v>126</v>
      </c>
      <c r="M67" s="39" t="s">
        <v>153</v>
      </c>
    </row>
    <row r="68" spans="1:13" ht="20.100000000000001" customHeight="1" x14ac:dyDescent="0.25">
      <c r="A68" s="35">
        <v>22</v>
      </c>
      <c r="B68" s="36" t="s">
        <v>2</v>
      </c>
      <c r="C68" s="36">
        <v>1163</v>
      </c>
      <c r="D68" s="38">
        <v>44589</v>
      </c>
      <c r="E68" s="38">
        <v>44589</v>
      </c>
      <c r="F68" s="36" t="s">
        <v>174</v>
      </c>
      <c r="G68" s="36" t="s">
        <v>94</v>
      </c>
      <c r="H68" s="36" t="s">
        <v>175</v>
      </c>
      <c r="I68" s="36" t="s">
        <v>176</v>
      </c>
      <c r="J68" s="36" t="s">
        <v>91</v>
      </c>
      <c r="K68" s="36" t="s">
        <v>97</v>
      </c>
      <c r="L68" s="36" t="s">
        <v>126</v>
      </c>
      <c r="M68" s="39" t="s">
        <v>153</v>
      </c>
    </row>
    <row r="69" spans="1:13" ht="20.100000000000001" customHeight="1" x14ac:dyDescent="0.25">
      <c r="A69" s="35">
        <v>21</v>
      </c>
      <c r="B69" s="36" t="s">
        <v>3</v>
      </c>
      <c r="C69" s="36">
        <v>206</v>
      </c>
      <c r="D69" s="38">
        <v>44592</v>
      </c>
      <c r="E69" s="38">
        <v>44594</v>
      </c>
      <c r="F69" s="36" t="s">
        <v>169</v>
      </c>
      <c r="G69" s="36" t="s">
        <v>170</v>
      </c>
      <c r="H69" s="36" t="s">
        <v>171</v>
      </c>
      <c r="I69" s="36" t="s">
        <v>172</v>
      </c>
      <c r="J69" s="36" t="s">
        <v>29</v>
      </c>
      <c r="K69" s="36" t="s">
        <v>173</v>
      </c>
      <c r="L69" s="36" t="s">
        <v>46</v>
      </c>
      <c r="M69" s="39" t="s">
        <v>191</v>
      </c>
    </row>
    <row r="70" spans="1:13" ht="20.100000000000001" customHeight="1" x14ac:dyDescent="0.25">
      <c r="A70" s="35">
        <v>20</v>
      </c>
      <c r="B70" s="36" t="s">
        <v>1</v>
      </c>
      <c r="C70" s="36">
        <v>169</v>
      </c>
      <c r="D70" s="38">
        <v>44593</v>
      </c>
      <c r="E70" s="38">
        <v>44593</v>
      </c>
      <c r="F70" s="36" t="s">
        <v>165</v>
      </c>
      <c r="G70" s="36" t="s">
        <v>94</v>
      </c>
      <c r="H70" s="36" t="s">
        <v>166</v>
      </c>
      <c r="I70" s="36" t="s">
        <v>124</v>
      </c>
      <c r="J70" s="36" t="s">
        <v>91</v>
      </c>
      <c r="K70" s="36" t="s">
        <v>97</v>
      </c>
      <c r="L70" s="36" t="s">
        <v>126</v>
      </c>
      <c r="M70" s="39" t="s">
        <v>167</v>
      </c>
    </row>
    <row r="71" spans="1:13" ht="20.100000000000001" customHeight="1" x14ac:dyDescent="0.25">
      <c r="A71" s="35">
        <v>19</v>
      </c>
      <c r="B71" s="36" t="s">
        <v>6</v>
      </c>
      <c r="C71" s="36">
        <v>859</v>
      </c>
      <c r="D71" s="38">
        <v>44591</v>
      </c>
      <c r="E71" s="38">
        <v>44592</v>
      </c>
      <c r="F71" s="36" t="s">
        <v>161</v>
      </c>
      <c r="G71" s="36" t="s">
        <v>94</v>
      </c>
      <c r="H71" s="36" t="s">
        <v>162</v>
      </c>
      <c r="I71" s="36" t="s">
        <v>163</v>
      </c>
      <c r="J71" s="36" t="s">
        <v>33</v>
      </c>
      <c r="K71" s="36" t="s">
        <v>97</v>
      </c>
      <c r="L71" s="36" t="s">
        <v>126</v>
      </c>
      <c r="M71" s="39" t="s">
        <v>164</v>
      </c>
    </row>
    <row r="72" spans="1:13" ht="20.100000000000001" customHeight="1" x14ac:dyDescent="0.25">
      <c r="A72" s="35">
        <v>18</v>
      </c>
      <c r="B72" s="36" t="s">
        <v>3</v>
      </c>
      <c r="C72" s="36">
        <v>205</v>
      </c>
      <c r="D72" s="38">
        <v>44586</v>
      </c>
      <c r="E72" s="38">
        <v>44589</v>
      </c>
      <c r="F72" s="36" t="s">
        <v>157</v>
      </c>
      <c r="G72" s="36" t="s">
        <v>158</v>
      </c>
      <c r="H72" s="36" t="s">
        <v>159</v>
      </c>
      <c r="I72" s="36" t="s">
        <v>160</v>
      </c>
      <c r="J72" s="36" t="s">
        <v>29</v>
      </c>
      <c r="K72" s="36" t="s">
        <v>148</v>
      </c>
      <c r="L72" s="36" t="s">
        <v>46</v>
      </c>
      <c r="M72" s="39" t="s">
        <v>190</v>
      </c>
    </row>
    <row r="73" spans="1:13" ht="20.100000000000001" customHeight="1" x14ac:dyDescent="0.25">
      <c r="A73" s="35">
        <v>17</v>
      </c>
      <c r="B73" s="36" t="s">
        <v>2</v>
      </c>
      <c r="C73" s="36">
        <v>1162</v>
      </c>
      <c r="D73" s="38">
        <v>44588</v>
      </c>
      <c r="E73" s="38">
        <v>44588</v>
      </c>
      <c r="F73" s="36" t="s">
        <v>154</v>
      </c>
      <c r="G73" s="36" t="s">
        <v>94</v>
      </c>
      <c r="H73" s="36" t="s">
        <v>155</v>
      </c>
      <c r="I73" s="36" t="s">
        <v>156</v>
      </c>
      <c r="J73" s="36" t="s">
        <v>91</v>
      </c>
      <c r="K73" s="36" t="s">
        <v>97</v>
      </c>
      <c r="L73" s="36" t="s">
        <v>92</v>
      </c>
      <c r="M73" s="39" t="s">
        <v>153</v>
      </c>
    </row>
    <row r="74" spans="1:13" ht="20.100000000000001" customHeight="1" x14ac:dyDescent="0.25">
      <c r="A74" s="35">
        <v>16</v>
      </c>
      <c r="B74" s="36" t="s">
        <v>2</v>
      </c>
      <c r="C74" s="36">
        <v>1161</v>
      </c>
      <c r="D74" s="38">
        <v>44586</v>
      </c>
      <c r="E74" s="38">
        <v>44586</v>
      </c>
      <c r="F74" s="36" t="s">
        <v>150</v>
      </c>
      <c r="G74" s="36" t="s">
        <v>94</v>
      </c>
      <c r="H74" s="36" t="s">
        <v>151</v>
      </c>
      <c r="I74" s="36" t="s">
        <v>152</v>
      </c>
      <c r="J74" s="36" t="s">
        <v>91</v>
      </c>
      <c r="K74" s="36" t="s">
        <v>97</v>
      </c>
      <c r="L74" s="36" t="s">
        <v>92</v>
      </c>
      <c r="M74" s="39" t="s">
        <v>153</v>
      </c>
    </row>
    <row r="75" spans="1:13" ht="20.100000000000001" customHeight="1" x14ac:dyDescent="0.25">
      <c r="A75" s="35">
        <v>15</v>
      </c>
      <c r="B75" s="36" t="s">
        <v>3</v>
      </c>
      <c r="C75" s="36">
        <v>198</v>
      </c>
      <c r="D75" s="38">
        <v>44577</v>
      </c>
      <c r="E75" s="38">
        <v>44581</v>
      </c>
      <c r="F75" s="36" t="s">
        <v>144</v>
      </c>
      <c r="G75" s="36" t="s">
        <v>145</v>
      </c>
      <c r="H75" s="36" t="s">
        <v>146</v>
      </c>
      <c r="I75" s="36" t="s">
        <v>147</v>
      </c>
      <c r="J75" s="36" t="s">
        <v>29</v>
      </c>
      <c r="K75" s="36" t="s">
        <v>148</v>
      </c>
      <c r="L75" s="36" t="s">
        <v>46</v>
      </c>
      <c r="M75" s="39" t="s">
        <v>149</v>
      </c>
    </row>
    <row r="76" spans="1:13" ht="20.100000000000001" customHeight="1" x14ac:dyDescent="0.25">
      <c r="A76" s="35">
        <v>14</v>
      </c>
      <c r="B76" s="36" t="s">
        <v>2</v>
      </c>
      <c r="C76" s="36">
        <v>1160</v>
      </c>
      <c r="D76" s="38">
        <v>44581</v>
      </c>
      <c r="E76" s="38">
        <v>44581</v>
      </c>
      <c r="F76" s="36" t="s">
        <v>141</v>
      </c>
      <c r="G76" s="36" t="s">
        <v>94</v>
      </c>
      <c r="H76" s="36" t="s">
        <v>142</v>
      </c>
      <c r="I76" s="36" t="s">
        <v>143</v>
      </c>
      <c r="J76" s="36" t="s">
        <v>91</v>
      </c>
      <c r="K76" s="36" t="s">
        <v>97</v>
      </c>
      <c r="L76" s="36" t="s">
        <v>126</v>
      </c>
      <c r="M76" s="39" t="s">
        <v>137</v>
      </c>
    </row>
    <row r="77" spans="1:13" ht="20.100000000000001" customHeight="1" x14ac:dyDescent="0.25">
      <c r="A77" s="35">
        <v>13</v>
      </c>
      <c r="B77" s="36" t="s">
        <v>2</v>
      </c>
      <c r="C77" s="36">
        <v>1159</v>
      </c>
      <c r="D77" s="38">
        <v>44579</v>
      </c>
      <c r="E77" s="38">
        <v>44579</v>
      </c>
      <c r="F77" s="36" t="s">
        <v>138</v>
      </c>
      <c r="G77" s="36" t="s">
        <v>94</v>
      </c>
      <c r="H77" s="36" t="s">
        <v>139</v>
      </c>
      <c r="I77" s="36" t="s">
        <v>140</v>
      </c>
      <c r="J77" s="36" t="s">
        <v>91</v>
      </c>
      <c r="K77" s="36" t="s">
        <v>97</v>
      </c>
      <c r="L77" s="36" t="s">
        <v>92</v>
      </c>
      <c r="M77" s="39" t="s">
        <v>137</v>
      </c>
    </row>
    <row r="78" spans="1:13" ht="20.100000000000001" customHeight="1" x14ac:dyDescent="0.25">
      <c r="A78" s="35">
        <v>12</v>
      </c>
      <c r="B78" s="36" t="s">
        <v>2</v>
      </c>
      <c r="C78" s="36">
        <v>1158</v>
      </c>
      <c r="D78" s="38">
        <v>44578</v>
      </c>
      <c r="E78" s="38">
        <v>44578</v>
      </c>
      <c r="F78" s="36" t="s">
        <v>134</v>
      </c>
      <c r="G78" s="36" t="s">
        <v>94</v>
      </c>
      <c r="H78" s="36" t="s">
        <v>135</v>
      </c>
      <c r="I78" s="36" t="s">
        <v>136</v>
      </c>
      <c r="J78" s="36" t="s">
        <v>91</v>
      </c>
      <c r="K78" s="36" t="s">
        <v>97</v>
      </c>
      <c r="L78" s="36" t="s">
        <v>126</v>
      </c>
      <c r="M78" s="39" t="s">
        <v>137</v>
      </c>
    </row>
    <row r="79" spans="1:13" ht="20.100000000000001" customHeight="1" x14ac:dyDescent="0.25">
      <c r="A79" s="35">
        <v>11</v>
      </c>
      <c r="B79" s="36" t="s">
        <v>2</v>
      </c>
      <c r="C79" s="36">
        <v>1157</v>
      </c>
      <c r="D79" s="38">
        <v>44576</v>
      </c>
      <c r="E79" s="38">
        <v>44576</v>
      </c>
      <c r="F79" s="36" t="s">
        <v>130</v>
      </c>
      <c r="G79" s="36" t="s">
        <v>94</v>
      </c>
      <c r="H79" s="36" t="s">
        <v>131</v>
      </c>
      <c r="I79" s="36" t="s">
        <v>132</v>
      </c>
      <c r="J79" s="36" t="s">
        <v>91</v>
      </c>
      <c r="K79" s="36" t="s">
        <v>97</v>
      </c>
      <c r="L79" s="36" t="s">
        <v>92</v>
      </c>
      <c r="M79" s="39" t="s">
        <v>133</v>
      </c>
    </row>
    <row r="80" spans="1:13" ht="20.100000000000001" customHeight="1" x14ac:dyDescent="0.25">
      <c r="A80" s="35">
        <v>10</v>
      </c>
      <c r="B80" s="36" t="s">
        <v>1</v>
      </c>
      <c r="C80" s="36">
        <v>253</v>
      </c>
      <c r="D80" s="38">
        <v>44579</v>
      </c>
      <c r="E80" s="38">
        <v>44579</v>
      </c>
      <c r="F80" s="36" t="s">
        <v>127</v>
      </c>
      <c r="G80" s="36" t="s">
        <v>94</v>
      </c>
      <c r="H80" s="36" t="s">
        <v>128</v>
      </c>
      <c r="I80" s="36" t="s">
        <v>124</v>
      </c>
      <c r="J80" s="36" t="s">
        <v>91</v>
      </c>
      <c r="K80" s="36" t="s">
        <v>97</v>
      </c>
      <c r="L80" s="36" t="s">
        <v>126</v>
      </c>
      <c r="M80" s="39" t="s">
        <v>129</v>
      </c>
    </row>
    <row r="81" spans="1:13" ht="20.100000000000001" customHeight="1" x14ac:dyDescent="0.25">
      <c r="A81" s="35">
        <v>9</v>
      </c>
      <c r="B81" s="36" t="s">
        <v>1</v>
      </c>
      <c r="C81" s="36">
        <v>265</v>
      </c>
      <c r="D81" s="38">
        <v>44577</v>
      </c>
      <c r="E81" s="38">
        <v>44578</v>
      </c>
      <c r="F81" s="36" t="s">
        <v>122</v>
      </c>
      <c r="G81" s="36" t="s">
        <v>94</v>
      </c>
      <c r="H81" s="36" t="s">
        <v>123</v>
      </c>
      <c r="I81" s="36" t="s">
        <v>124</v>
      </c>
      <c r="J81" s="36" t="s">
        <v>91</v>
      </c>
      <c r="K81" s="36" t="s">
        <v>97</v>
      </c>
      <c r="L81" s="36" t="s">
        <v>92</v>
      </c>
      <c r="M81" s="39" t="s">
        <v>125</v>
      </c>
    </row>
    <row r="82" spans="1:13" ht="20.100000000000001" customHeight="1" x14ac:dyDescent="0.25">
      <c r="A82" s="35">
        <v>8</v>
      </c>
      <c r="B82" s="36" t="s">
        <v>3</v>
      </c>
      <c r="C82" s="36">
        <v>204</v>
      </c>
      <c r="D82" s="38">
        <v>44574</v>
      </c>
      <c r="E82" s="38">
        <v>44578</v>
      </c>
      <c r="F82" s="36" t="s">
        <v>116</v>
      </c>
      <c r="G82" s="36" t="s">
        <v>117</v>
      </c>
      <c r="H82" s="36" t="s">
        <v>118</v>
      </c>
      <c r="I82" s="36" t="s">
        <v>119</v>
      </c>
      <c r="J82" s="36" t="s">
        <v>29</v>
      </c>
      <c r="K82" s="36" t="s">
        <v>120</v>
      </c>
      <c r="L82" s="36" t="s">
        <v>46</v>
      </c>
      <c r="M82" s="39" t="s">
        <v>121</v>
      </c>
    </row>
    <row r="83" spans="1:13" ht="20.100000000000001" customHeight="1" x14ac:dyDescent="0.25">
      <c r="A83" s="35">
        <v>7</v>
      </c>
      <c r="B83" s="36" t="s">
        <v>3</v>
      </c>
      <c r="C83" s="36">
        <v>203</v>
      </c>
      <c r="D83" s="38">
        <v>44573</v>
      </c>
      <c r="E83" s="38">
        <v>44576</v>
      </c>
      <c r="F83" s="36" t="s">
        <v>110</v>
      </c>
      <c r="G83" s="36" t="s">
        <v>111</v>
      </c>
      <c r="H83" s="36" t="s">
        <v>112</v>
      </c>
      <c r="I83" s="36" t="s">
        <v>113</v>
      </c>
      <c r="J83" s="36" t="s">
        <v>29</v>
      </c>
      <c r="K83" s="36" t="s">
        <v>114</v>
      </c>
      <c r="L83" s="36" t="s">
        <v>46</v>
      </c>
      <c r="M83" s="39" t="s">
        <v>115</v>
      </c>
    </row>
    <row r="84" spans="1:13" ht="20.100000000000001" customHeight="1" x14ac:dyDescent="0.25">
      <c r="A84" s="35">
        <v>6</v>
      </c>
      <c r="B84" s="36" t="s">
        <v>3</v>
      </c>
      <c r="C84" s="36">
        <v>202</v>
      </c>
      <c r="D84" s="38">
        <v>44571</v>
      </c>
      <c r="E84" s="38">
        <v>44574</v>
      </c>
      <c r="F84" s="36" t="s">
        <v>104</v>
      </c>
      <c r="G84" s="36" t="s">
        <v>105</v>
      </c>
      <c r="H84" s="36" t="s">
        <v>106</v>
      </c>
      <c r="I84" s="36" t="s">
        <v>107</v>
      </c>
      <c r="J84" s="36" t="s">
        <v>29</v>
      </c>
      <c r="K84" s="36" t="s">
        <v>108</v>
      </c>
      <c r="L84" s="36" t="s">
        <v>46</v>
      </c>
      <c r="M84" s="39" t="s">
        <v>109</v>
      </c>
    </row>
    <row r="85" spans="1:13" ht="20.100000000000001" customHeight="1" x14ac:dyDescent="0.25">
      <c r="A85" s="35">
        <v>5</v>
      </c>
      <c r="B85" s="36" t="s">
        <v>3</v>
      </c>
      <c r="C85" s="36">
        <v>201</v>
      </c>
      <c r="D85" s="38">
        <v>44571</v>
      </c>
      <c r="E85" s="38">
        <v>44574</v>
      </c>
      <c r="F85" s="36" t="s">
        <v>99</v>
      </c>
      <c r="G85" s="36" t="s">
        <v>100</v>
      </c>
      <c r="H85" s="36" t="s">
        <v>101</v>
      </c>
      <c r="I85" s="36" t="s">
        <v>102</v>
      </c>
      <c r="J85" s="36" t="s">
        <v>29</v>
      </c>
      <c r="K85" s="36" t="s">
        <v>103</v>
      </c>
      <c r="L85" s="36" t="s">
        <v>46</v>
      </c>
      <c r="M85" s="39" t="s">
        <v>58</v>
      </c>
    </row>
    <row r="86" spans="1:13" ht="20.100000000000001" customHeight="1" x14ac:dyDescent="0.25">
      <c r="A86" s="35">
        <v>4</v>
      </c>
      <c r="B86" s="36" t="s">
        <v>2</v>
      </c>
      <c r="C86" s="36">
        <v>1156</v>
      </c>
      <c r="D86" s="38">
        <v>44567</v>
      </c>
      <c r="E86" s="38">
        <v>44568</v>
      </c>
      <c r="F86" s="36" t="s">
        <v>93</v>
      </c>
      <c r="G86" s="36" t="s">
        <v>94</v>
      </c>
      <c r="H86" s="36" t="s">
        <v>95</v>
      </c>
      <c r="I86" s="36" t="s">
        <v>96</v>
      </c>
      <c r="J86" s="36" t="s">
        <v>91</v>
      </c>
      <c r="K86" s="36" t="s">
        <v>97</v>
      </c>
      <c r="L86" s="36" t="s">
        <v>92</v>
      </c>
      <c r="M86" s="39" t="s">
        <v>98</v>
      </c>
    </row>
    <row r="87" spans="1:13" ht="20.100000000000001" customHeight="1" x14ac:dyDescent="0.25">
      <c r="A87" s="35">
        <v>3</v>
      </c>
      <c r="B87" s="36" t="s">
        <v>3</v>
      </c>
      <c r="C87" s="36">
        <v>200</v>
      </c>
      <c r="D87" s="38">
        <v>44567</v>
      </c>
      <c r="E87" s="38">
        <v>44571</v>
      </c>
      <c r="F87" s="36" t="s">
        <v>59</v>
      </c>
      <c r="G87" s="36" t="s">
        <v>60</v>
      </c>
      <c r="H87" s="36" t="s">
        <v>61</v>
      </c>
      <c r="I87" s="36" t="s">
        <v>62</v>
      </c>
      <c r="J87" s="36" t="s">
        <v>29</v>
      </c>
      <c r="K87" s="36" t="s">
        <v>63</v>
      </c>
      <c r="L87" s="36" t="s">
        <v>46</v>
      </c>
      <c r="M87" s="39" t="s">
        <v>58</v>
      </c>
    </row>
    <row r="88" spans="1:13" ht="20.100000000000001" customHeight="1" x14ac:dyDescent="0.25">
      <c r="A88" s="35">
        <v>2</v>
      </c>
      <c r="B88" s="36" t="s">
        <v>3</v>
      </c>
      <c r="C88" s="36">
        <v>199</v>
      </c>
      <c r="D88" s="38">
        <v>44564</v>
      </c>
      <c r="E88" s="38">
        <v>44567</v>
      </c>
      <c r="F88" s="36" t="s">
        <v>53</v>
      </c>
      <c r="G88" s="36" t="s">
        <v>54</v>
      </c>
      <c r="H88" s="36" t="s">
        <v>55</v>
      </c>
      <c r="I88" s="36" t="s">
        <v>56</v>
      </c>
      <c r="J88" s="36" t="s">
        <v>29</v>
      </c>
      <c r="K88" s="36" t="s">
        <v>57</v>
      </c>
      <c r="L88" s="36" t="s">
        <v>46</v>
      </c>
      <c r="M88" s="39" t="s">
        <v>58</v>
      </c>
    </row>
    <row r="89" spans="1:13" ht="20.100000000000001" customHeight="1" x14ac:dyDescent="0.25">
      <c r="A89" s="7">
        <v>1</v>
      </c>
      <c r="B89" s="5" t="s">
        <v>3</v>
      </c>
      <c r="C89" s="5">
        <v>197</v>
      </c>
      <c r="D89" s="6">
        <v>44564</v>
      </c>
      <c r="E89" s="6">
        <v>44566</v>
      </c>
      <c r="F89" s="5" t="s">
        <v>47</v>
      </c>
      <c r="G89" s="5" t="s">
        <v>48</v>
      </c>
      <c r="H89" s="5" t="s">
        <v>49</v>
      </c>
      <c r="I89" s="5" t="s">
        <v>50</v>
      </c>
      <c r="J89" s="5" t="s">
        <v>29</v>
      </c>
      <c r="K89" s="5" t="s">
        <v>51</v>
      </c>
      <c r="L89" s="5" t="s">
        <v>46</v>
      </c>
      <c r="M89" s="19" t="s">
        <v>52</v>
      </c>
    </row>
    <row r="90" spans="1:13" ht="20.100000000000001" customHeight="1" x14ac:dyDescent="0.25">
      <c r="A90"/>
      <c r="B90"/>
      <c r="C90"/>
      <c r="D90" s="48"/>
      <c r="E90" s="48"/>
      <c r="F90"/>
      <c r="G90"/>
      <c r="H90"/>
      <c r="I90"/>
      <c r="J90"/>
      <c r="K90"/>
      <c r="L90"/>
      <c r="M90"/>
    </row>
  </sheetData>
  <sheetProtection formatCells="0" formatColumns="0" formatRows="0" insertColumns="0" insertRows="0" insertHyperlinks="0" deleteColumns="0" deleteRows="0" sort="0" autoFilter="0" pivotTables="0"/>
  <dataValidations count="4">
    <dataValidation showInputMessage="1" showErrorMessage="1" sqref="I91:I1048576 H90:H1048576 H1:H88 I1:I89 F2:G89" xr:uid="{5177372C-99C4-4206-8AD8-B8EAAFD4FDE7}"/>
    <dataValidation type="date" allowBlank="1" showInputMessage="1" showErrorMessage="1" sqref="D2:E89" xr:uid="{EC1BED9E-DA52-45E3-A104-DFFF5DFF65C3}">
      <formula1>44562</formula1>
      <formula2>44926</formula2>
    </dataValidation>
    <dataValidation type="whole" operator="greaterThan" allowBlank="1" showInputMessage="1" showErrorMessage="1" sqref="A2:A89" xr:uid="{28619C66-FCCB-48E4-B49D-C029BB4F77E5}">
      <formula1>0</formula1>
    </dataValidation>
    <dataValidation type="list" allowBlank="1" showInputMessage="1" showErrorMessage="1" sqref="B1:B1048576" xr:uid="{6DB68B3B-EC76-411B-8F2D-DDFD10CE2140}">
      <formula1>"Moss V1,Moss V2,1008i"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E0C966-2845-48A4-BAE7-449C164C5B04}">
  <dimension ref="A1:F42"/>
  <sheetViews>
    <sheetView workbookViewId="0">
      <selection activeCell="D15" sqref="D15"/>
    </sheetView>
  </sheetViews>
  <sheetFormatPr defaultRowHeight="15" x14ac:dyDescent="0.25"/>
  <cols>
    <col min="1" max="1" width="15.42578125" bestFit="1" customWidth="1"/>
    <col min="2" max="2" width="18.5703125" bestFit="1" customWidth="1"/>
    <col min="3" max="4" width="8.42578125" bestFit="1" customWidth="1"/>
    <col min="5" max="5" width="11.28515625" bestFit="1" customWidth="1"/>
    <col min="6" max="7" width="14.5703125" bestFit="1" customWidth="1"/>
    <col min="8" max="8" width="18.5703125" bestFit="1" customWidth="1"/>
    <col min="9" max="9" width="20.28515625" bestFit="1" customWidth="1"/>
    <col min="10" max="10" width="10" bestFit="1" customWidth="1"/>
  </cols>
  <sheetData>
    <row r="1" spans="1:5" x14ac:dyDescent="0.25">
      <c r="A1" s="9" t="s">
        <v>39</v>
      </c>
      <c r="B1" s="9" t="s">
        <v>38</v>
      </c>
      <c r="C1" s="1"/>
      <c r="D1" s="1"/>
      <c r="E1" s="1"/>
    </row>
    <row r="2" spans="1:5" x14ac:dyDescent="0.25">
      <c r="A2" s="9" t="s">
        <v>35</v>
      </c>
      <c r="B2" s="1" t="s">
        <v>3</v>
      </c>
      <c r="C2" s="1" t="s">
        <v>1</v>
      </c>
      <c r="D2" s="1" t="s">
        <v>2</v>
      </c>
      <c r="E2" s="1" t="s">
        <v>36</v>
      </c>
    </row>
    <row r="3" spans="1:5" x14ac:dyDescent="0.25">
      <c r="A3" s="1" t="s">
        <v>37</v>
      </c>
      <c r="B3" s="72">
        <v>9</v>
      </c>
      <c r="C3" s="72">
        <v>2</v>
      </c>
      <c r="D3" s="72">
        <v>10</v>
      </c>
      <c r="E3" s="72">
        <v>21</v>
      </c>
    </row>
    <row r="4" spans="1:5" x14ac:dyDescent="0.25">
      <c r="A4" s="1" t="s">
        <v>168</v>
      </c>
      <c r="B4" s="72">
        <v>8</v>
      </c>
      <c r="C4" s="72">
        <v>2</v>
      </c>
      <c r="D4" s="72">
        <v>19</v>
      </c>
      <c r="E4" s="72">
        <v>29</v>
      </c>
    </row>
    <row r="5" spans="1:5" x14ac:dyDescent="0.25">
      <c r="A5" s="1" t="s">
        <v>287</v>
      </c>
      <c r="B5" s="72">
        <v>8</v>
      </c>
      <c r="C5" s="72">
        <v>1</v>
      </c>
      <c r="D5" s="72">
        <v>15</v>
      </c>
      <c r="E5" s="72">
        <v>24</v>
      </c>
    </row>
    <row r="6" spans="1:5" x14ac:dyDescent="0.25">
      <c r="A6" s="1" t="s">
        <v>397</v>
      </c>
      <c r="B6" s="72">
        <v>3</v>
      </c>
      <c r="C6" s="72"/>
      <c r="D6" s="72">
        <v>9</v>
      </c>
      <c r="E6" s="72">
        <v>12</v>
      </c>
    </row>
    <row r="7" spans="1:5" x14ac:dyDescent="0.25">
      <c r="A7" s="1" t="s">
        <v>451</v>
      </c>
      <c r="B7" s="72">
        <v>1</v>
      </c>
      <c r="C7" s="72"/>
      <c r="D7" s="72"/>
      <c r="E7" s="72">
        <v>1</v>
      </c>
    </row>
    <row r="8" spans="1:5" x14ac:dyDescent="0.25">
      <c r="A8" s="1" t="s">
        <v>36</v>
      </c>
      <c r="B8" s="72">
        <v>29</v>
      </c>
      <c r="C8" s="72">
        <v>5</v>
      </c>
      <c r="D8" s="72">
        <v>53</v>
      </c>
      <c r="E8" s="72">
        <v>87</v>
      </c>
    </row>
    <row r="20" spans="1:6" x14ac:dyDescent="0.25">
      <c r="A20" s="49" t="s">
        <v>64</v>
      </c>
      <c r="B20" s="50" t="s">
        <v>65</v>
      </c>
      <c r="C20" s="50" t="s">
        <v>66</v>
      </c>
      <c r="D20" s="51" t="s">
        <v>68</v>
      </c>
      <c r="E20" s="52" t="s">
        <v>69</v>
      </c>
      <c r="F20" s="53" t="s">
        <v>67</v>
      </c>
    </row>
    <row r="21" spans="1:6" x14ac:dyDescent="0.25">
      <c r="A21" s="54">
        <v>1</v>
      </c>
      <c r="B21" s="56" t="s">
        <v>70</v>
      </c>
      <c r="C21" s="56">
        <v>2</v>
      </c>
      <c r="D21" s="58"/>
      <c r="E21" s="59"/>
      <c r="F21" s="57">
        <f t="shared" ref="F21:F42" si="0">D21-E21-(GETPIVOTDATA("Model",$A$1,"Model","Moss V2")*C21)</f>
        <v>-106</v>
      </c>
    </row>
    <row r="22" spans="1:6" x14ac:dyDescent="0.25">
      <c r="A22" s="54">
        <v>2</v>
      </c>
      <c r="B22" s="56" t="s">
        <v>71</v>
      </c>
      <c r="C22" s="56">
        <v>1</v>
      </c>
      <c r="D22" s="58"/>
      <c r="E22" s="59"/>
      <c r="F22" s="57">
        <f t="shared" si="0"/>
        <v>-53</v>
      </c>
    </row>
    <row r="23" spans="1:6" x14ac:dyDescent="0.25">
      <c r="A23" s="54">
        <v>3</v>
      </c>
      <c r="B23" s="56" t="s">
        <v>72</v>
      </c>
      <c r="C23" s="56">
        <v>1</v>
      </c>
      <c r="D23" s="58"/>
      <c r="E23" s="59"/>
      <c r="F23" s="57">
        <f t="shared" si="0"/>
        <v>-53</v>
      </c>
    </row>
    <row r="24" spans="1:6" x14ac:dyDescent="0.25">
      <c r="A24" s="54">
        <v>4</v>
      </c>
      <c r="B24" s="56" t="s">
        <v>73</v>
      </c>
      <c r="C24" s="56">
        <v>1</v>
      </c>
      <c r="D24" s="58"/>
      <c r="E24" s="59"/>
      <c r="F24" s="57">
        <f t="shared" si="0"/>
        <v>-53</v>
      </c>
    </row>
    <row r="25" spans="1:6" x14ac:dyDescent="0.25">
      <c r="A25" s="54">
        <v>5</v>
      </c>
      <c r="B25" s="56" t="s">
        <v>74</v>
      </c>
      <c r="C25" s="56">
        <v>1</v>
      </c>
      <c r="D25" s="58"/>
      <c r="E25" s="59"/>
      <c r="F25" s="57">
        <f t="shared" si="0"/>
        <v>-53</v>
      </c>
    </row>
    <row r="26" spans="1:6" x14ac:dyDescent="0.25">
      <c r="A26" s="54">
        <v>6</v>
      </c>
      <c r="B26" s="56" t="s">
        <v>75</v>
      </c>
      <c r="C26" s="56">
        <v>1</v>
      </c>
      <c r="D26" s="58"/>
      <c r="E26" s="59"/>
      <c r="F26" s="57">
        <f t="shared" si="0"/>
        <v>-53</v>
      </c>
    </row>
    <row r="27" spans="1:6" x14ac:dyDescent="0.25">
      <c r="A27" s="54">
        <v>7</v>
      </c>
      <c r="B27" s="56" t="s">
        <v>76</v>
      </c>
      <c r="C27" s="56">
        <v>1</v>
      </c>
      <c r="D27" s="58"/>
      <c r="E27" s="59"/>
      <c r="F27" s="57">
        <f t="shared" si="0"/>
        <v>-53</v>
      </c>
    </row>
    <row r="28" spans="1:6" x14ac:dyDescent="0.25">
      <c r="A28" s="54">
        <v>8</v>
      </c>
      <c r="B28" s="56" t="s">
        <v>77</v>
      </c>
      <c r="C28" s="56">
        <v>1</v>
      </c>
      <c r="D28" s="58"/>
      <c r="E28" s="59"/>
      <c r="F28" s="57">
        <f t="shared" si="0"/>
        <v>-53</v>
      </c>
    </row>
    <row r="29" spans="1:6" x14ac:dyDescent="0.25">
      <c r="A29" s="54">
        <v>9</v>
      </c>
      <c r="B29" s="56" t="s">
        <v>78</v>
      </c>
      <c r="C29" s="56">
        <v>1</v>
      </c>
      <c r="D29" s="58"/>
      <c r="E29" s="59"/>
      <c r="F29" s="57">
        <f t="shared" si="0"/>
        <v>-53</v>
      </c>
    </row>
    <row r="30" spans="1:6" x14ac:dyDescent="0.25">
      <c r="A30" s="54">
        <v>10</v>
      </c>
      <c r="B30" s="56" t="s">
        <v>79</v>
      </c>
      <c r="C30" s="56">
        <v>1</v>
      </c>
      <c r="D30" s="58"/>
      <c r="E30" s="59"/>
      <c r="F30" s="57">
        <f t="shared" si="0"/>
        <v>-53</v>
      </c>
    </row>
    <row r="31" spans="1:6" x14ac:dyDescent="0.25">
      <c r="A31" s="54">
        <v>11</v>
      </c>
      <c r="B31" s="56" t="s">
        <v>80</v>
      </c>
      <c r="C31" s="56">
        <v>1</v>
      </c>
      <c r="D31" s="58"/>
      <c r="E31" s="59"/>
      <c r="F31" s="57">
        <f t="shared" si="0"/>
        <v>-53</v>
      </c>
    </row>
    <row r="32" spans="1:6" x14ac:dyDescent="0.25">
      <c r="A32" s="54">
        <v>12</v>
      </c>
      <c r="B32" s="56" t="s">
        <v>81</v>
      </c>
      <c r="C32" s="56">
        <v>1</v>
      </c>
      <c r="D32" s="58"/>
      <c r="E32" s="59"/>
      <c r="F32" s="57">
        <f t="shared" si="0"/>
        <v>-53</v>
      </c>
    </row>
    <row r="33" spans="1:6" x14ac:dyDescent="0.25">
      <c r="A33" s="54">
        <v>13</v>
      </c>
      <c r="B33" s="56" t="s">
        <v>82</v>
      </c>
      <c r="C33" s="56">
        <v>1</v>
      </c>
      <c r="D33" s="58"/>
      <c r="E33" s="59"/>
      <c r="F33" s="57">
        <f t="shared" si="0"/>
        <v>-53</v>
      </c>
    </row>
    <row r="34" spans="1:6" x14ac:dyDescent="0.25">
      <c r="A34" s="54">
        <v>14</v>
      </c>
      <c r="B34" s="56" t="s">
        <v>83</v>
      </c>
      <c r="C34" s="56">
        <v>1</v>
      </c>
      <c r="D34" s="58"/>
      <c r="E34" s="59"/>
      <c r="F34" s="57">
        <f t="shared" si="0"/>
        <v>-53</v>
      </c>
    </row>
    <row r="35" spans="1:6" x14ac:dyDescent="0.25">
      <c r="A35" s="54">
        <v>15</v>
      </c>
      <c r="B35" s="56" t="s">
        <v>84</v>
      </c>
      <c r="C35" s="56">
        <v>1</v>
      </c>
      <c r="D35" s="58"/>
      <c r="E35" s="59"/>
      <c r="F35" s="57">
        <f t="shared" si="0"/>
        <v>-53</v>
      </c>
    </row>
    <row r="36" spans="1:6" x14ac:dyDescent="0.25">
      <c r="A36" s="54">
        <v>16</v>
      </c>
      <c r="B36" s="56" t="s">
        <v>85</v>
      </c>
      <c r="C36" s="56">
        <v>1</v>
      </c>
      <c r="D36" s="58"/>
      <c r="E36" s="59"/>
      <c r="F36" s="57">
        <f t="shared" si="0"/>
        <v>-53</v>
      </c>
    </row>
    <row r="37" spans="1:6" x14ac:dyDescent="0.25">
      <c r="A37" s="54">
        <v>17</v>
      </c>
      <c r="B37" s="56" t="s">
        <v>86</v>
      </c>
      <c r="C37" s="56">
        <v>1</v>
      </c>
      <c r="D37" s="58"/>
      <c r="E37" s="59"/>
      <c r="F37" s="57">
        <f t="shared" si="0"/>
        <v>-53</v>
      </c>
    </row>
    <row r="38" spans="1:6" x14ac:dyDescent="0.25">
      <c r="A38" s="54">
        <v>18</v>
      </c>
      <c r="B38" s="56" t="s">
        <v>87</v>
      </c>
      <c r="C38" s="56">
        <v>1</v>
      </c>
      <c r="D38" s="58"/>
      <c r="E38" s="59"/>
      <c r="F38" s="57">
        <f t="shared" si="0"/>
        <v>-53</v>
      </c>
    </row>
    <row r="39" spans="1:6" x14ac:dyDescent="0.25">
      <c r="A39" s="54">
        <v>19</v>
      </c>
      <c r="B39" s="56" t="s">
        <v>9</v>
      </c>
      <c r="C39" s="56">
        <v>1</v>
      </c>
      <c r="D39" s="58"/>
      <c r="E39" s="59"/>
      <c r="F39" s="57">
        <f t="shared" si="0"/>
        <v>-53</v>
      </c>
    </row>
    <row r="40" spans="1:6" x14ac:dyDescent="0.25">
      <c r="A40" s="54">
        <v>20</v>
      </c>
      <c r="B40" s="56" t="s">
        <v>88</v>
      </c>
      <c r="C40" s="56">
        <v>1</v>
      </c>
      <c r="D40" s="58"/>
      <c r="E40" s="59"/>
      <c r="F40" s="57">
        <f t="shared" si="0"/>
        <v>-53</v>
      </c>
    </row>
    <row r="41" spans="1:6" x14ac:dyDescent="0.25">
      <c r="A41" s="54">
        <v>21</v>
      </c>
      <c r="B41" s="56" t="s">
        <v>89</v>
      </c>
      <c r="C41" s="56">
        <v>1</v>
      </c>
      <c r="D41" s="58"/>
      <c r="E41" s="59"/>
      <c r="F41" s="57">
        <f t="shared" si="0"/>
        <v>-53</v>
      </c>
    </row>
    <row r="42" spans="1:6" x14ac:dyDescent="0.25">
      <c r="A42" s="55">
        <v>22</v>
      </c>
      <c r="B42" s="60" t="s">
        <v>90</v>
      </c>
      <c r="C42" s="60">
        <v>1</v>
      </c>
      <c r="D42" s="61"/>
      <c r="E42" s="62"/>
      <c r="F42" s="57">
        <f t="shared" si="0"/>
        <v>-53</v>
      </c>
    </row>
  </sheetData>
  <pageMargins left="0.7" right="0.7" top="0.75" bottom="0.75" header="0.3" footer="0.3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42E59-12C1-4184-8A92-CCEAA8E143DA}">
  <sheetPr codeName="Sheet2"/>
  <dimension ref="A1:M20"/>
  <sheetViews>
    <sheetView tabSelected="1" workbookViewId="0">
      <selection activeCell="A11" sqref="A11:M11"/>
    </sheetView>
  </sheetViews>
  <sheetFormatPr defaultColWidth="20.7109375" defaultRowHeight="20.100000000000001" customHeight="1" x14ac:dyDescent="0.25"/>
  <cols>
    <col min="1" max="12" width="20.7109375" style="29"/>
    <col min="13" max="13" width="146" style="30" bestFit="1" customWidth="1"/>
    <col min="14" max="16384" width="20.7109375" style="29"/>
  </cols>
  <sheetData>
    <row r="1" spans="1:13" ht="20.100000000000001" customHeight="1" x14ac:dyDescent="0.25">
      <c r="A1" s="29" t="s">
        <v>0</v>
      </c>
      <c r="B1" s="29" t="s">
        <v>14</v>
      </c>
      <c r="C1" s="29" t="s">
        <v>15</v>
      </c>
      <c r="D1" s="29" t="s">
        <v>17</v>
      </c>
      <c r="E1" s="29" t="s">
        <v>18</v>
      </c>
      <c r="F1" s="29" t="s">
        <v>27</v>
      </c>
    </row>
    <row r="2" spans="1:13" ht="20.100000000000001" customHeight="1" x14ac:dyDescent="0.25">
      <c r="A2" s="29" t="s">
        <v>1</v>
      </c>
      <c r="B2" s="29" t="s">
        <v>15</v>
      </c>
      <c r="C2" s="29" t="s">
        <v>19</v>
      </c>
      <c r="D2" s="29" t="s">
        <v>19</v>
      </c>
      <c r="E2" s="29" t="s">
        <v>16</v>
      </c>
    </row>
    <row r="3" spans="1:13" ht="20.100000000000001" customHeight="1" x14ac:dyDescent="0.25">
      <c r="A3" s="29" t="s">
        <v>2</v>
      </c>
      <c r="B3" s="29" t="s">
        <v>19</v>
      </c>
    </row>
    <row r="4" spans="1:13" ht="20.100000000000001" customHeight="1" x14ac:dyDescent="0.25">
      <c r="A4" s="29" t="s">
        <v>3</v>
      </c>
      <c r="B4" s="29" t="s">
        <v>15</v>
      </c>
    </row>
    <row r="5" spans="1:13" ht="20.100000000000001" customHeight="1" x14ac:dyDescent="0.25">
      <c r="A5" s="29" t="s">
        <v>6</v>
      </c>
    </row>
    <row r="6" spans="1:13" ht="20.100000000000001" customHeight="1" x14ac:dyDescent="0.25">
      <c r="A6" s="29" t="s">
        <v>7</v>
      </c>
    </row>
    <row r="8" spans="1:13" ht="20.100000000000001" customHeight="1" x14ac:dyDescent="0.25">
      <c r="A8" s="31" t="s">
        <v>22</v>
      </c>
      <c r="B8" s="32" t="s">
        <v>0</v>
      </c>
      <c r="C8" s="32" t="s">
        <v>10</v>
      </c>
      <c r="D8" s="33" t="s">
        <v>4</v>
      </c>
      <c r="E8" s="33" t="s">
        <v>5</v>
      </c>
      <c r="F8" s="32" t="s">
        <v>23</v>
      </c>
      <c r="G8" s="32" t="s">
        <v>24</v>
      </c>
      <c r="H8" s="32" t="s">
        <v>17</v>
      </c>
      <c r="I8" s="32" t="s">
        <v>18</v>
      </c>
      <c r="J8" s="32" t="s">
        <v>8</v>
      </c>
      <c r="K8" s="32" t="s">
        <v>9</v>
      </c>
      <c r="L8" s="32" t="s">
        <v>21</v>
      </c>
      <c r="M8" s="34" t="s">
        <v>20</v>
      </c>
    </row>
    <row r="9" spans="1:13" s="37" customFormat="1" ht="20.100000000000001" customHeight="1" x14ac:dyDescent="0.25">
      <c r="A9" s="7">
        <f>SUM(A11,1)</f>
        <v>88</v>
      </c>
      <c r="B9" s="5">
        <f>'OAL FORM'!D3</f>
        <v>0</v>
      </c>
      <c r="C9" s="8">
        <f>'OAL FORM'!H3</f>
        <v>0</v>
      </c>
      <c r="D9" s="6">
        <f>'OAL FORM'!D5</f>
        <v>0</v>
      </c>
      <c r="E9" s="6">
        <f>'OAL FORM'!H5</f>
        <v>0</v>
      </c>
      <c r="F9" s="8" t="str">
        <f>'OAL FORM'!D11</f>
        <v/>
      </c>
      <c r="G9" s="8" t="str">
        <f>'OAL FORM'!D13</f>
        <v/>
      </c>
      <c r="H9" s="28" t="str">
        <f>IF('OAL FORM'!H11="DAQ",IF('OAL FORM'!D3="1008i",CONCATENATE("DAQ-",'OAL FORM'!H13," v2.0,F/W-1.07"),CONCATENATE("DAQ-",'OAL FORM'!H13,"v2.0,F/W-1.06")),CONCATENATE("SLAVE-",'OAL FORM'!H13))</f>
        <v>SLAVE-</v>
      </c>
      <c r="I9" s="8" t="str">
        <f>IF('OAL FORM'!H11="DAQ",IF('OAL FORM'!D3="1008i",CONCATENATE("DAQ-",'OAL FORM'!H15," v2.0,F/W-1.07"),CONCATENATE("DAQ-",'OAL FORM'!H15,"v2.0,F/W-1.06")),CONCATENATE("CCID-",'OAL FORM'!H15))</f>
        <v>CCID-</v>
      </c>
      <c r="J9" s="5" t="e">
        <f>'OAL FORM'!#REF!</f>
        <v>#REF!</v>
      </c>
      <c r="K9" s="5" t="str">
        <f>CONCATENATE(IF('OAL FORM'!D3="1008i",'OAL FORM'!I7,'OAL FORM'!H7),",",'OAL FORM'!H9)</f>
        <v>,</v>
      </c>
      <c r="L9" s="5">
        <f>'OAL FORM'!H25</f>
        <v>0</v>
      </c>
      <c r="M9" s="18" t="str">
        <f>CONCATENATE(E14,E15,E16,E17,E18,E19,",",'OAL FORM'!D22)</f>
        <v>, Uncoated CCD, Single Slit Mount, Arldite Used,</v>
      </c>
    </row>
    <row r="10" spans="1:13" s="37" customFormat="1" ht="20.100000000000001" customHeight="1" x14ac:dyDescent="0.25">
      <c r="A10" s="35">
        <v>87</v>
      </c>
      <c r="B10" s="36" t="s">
        <v>3</v>
      </c>
      <c r="C10" s="36">
        <v>224</v>
      </c>
      <c r="D10" s="38">
        <v>44677</v>
      </c>
      <c r="E10" s="38">
        <v>44684</v>
      </c>
      <c r="F10" s="36" t="e">
        <v>#VALUE!</v>
      </c>
      <c r="G10" s="36" t="e">
        <v>#VALUE!</v>
      </c>
      <c r="H10" s="36" t="s">
        <v>445</v>
      </c>
      <c r="I10" s="36" t="s">
        <v>446</v>
      </c>
      <c r="J10" s="36" t="e">
        <v>#REF!</v>
      </c>
      <c r="K10" s="36" t="s">
        <v>447</v>
      </c>
      <c r="L10" s="36">
        <v>0</v>
      </c>
      <c r="M10" s="39" t="s">
        <v>448</v>
      </c>
    </row>
    <row r="11" spans="1:13" s="37" customFormat="1" ht="20.100000000000001" customHeight="1" x14ac:dyDescent="0.25">
      <c r="A11" s="40">
        <v>87</v>
      </c>
      <c r="B11" s="41" t="s">
        <v>3</v>
      </c>
      <c r="C11" s="41">
        <v>224</v>
      </c>
      <c r="D11" s="42">
        <v>44677</v>
      </c>
      <c r="E11" s="42">
        <v>44684</v>
      </c>
      <c r="F11" s="41" t="e">
        <v>#VALUE!</v>
      </c>
      <c r="G11" s="41" t="e">
        <v>#VALUE!</v>
      </c>
      <c r="H11" s="41" t="s">
        <v>445</v>
      </c>
      <c r="I11" s="41" t="s">
        <v>446</v>
      </c>
      <c r="J11" s="41" t="e">
        <v>#REF!</v>
      </c>
      <c r="K11" s="41" t="s">
        <v>447</v>
      </c>
      <c r="L11" s="41">
        <v>0</v>
      </c>
      <c r="M11" s="43" t="s">
        <v>448</v>
      </c>
    </row>
    <row r="13" spans="1:13" ht="20.100000000000001" customHeight="1" x14ac:dyDescent="0.25">
      <c r="A13" s="44" t="s">
        <v>8</v>
      </c>
      <c r="C13" s="29" t="s">
        <v>20</v>
      </c>
      <c r="D13" s="29" t="s">
        <v>20</v>
      </c>
    </row>
    <row r="14" spans="1:13" ht="20.100000000000001" customHeight="1" x14ac:dyDescent="0.25">
      <c r="A14" s="45" t="s">
        <v>28</v>
      </c>
      <c r="C14" s="29" t="b">
        <v>0</v>
      </c>
      <c r="D14" s="29" t="s">
        <v>40</v>
      </c>
      <c r="E14" t="str">
        <f t="shared" ref="E14:E19" si="0">IF(C14=TRUE,D14,"")</f>
        <v/>
      </c>
    </row>
    <row r="15" spans="1:13" ht="20.100000000000001" customHeight="1" x14ac:dyDescent="0.25">
      <c r="A15" s="46" t="s">
        <v>33</v>
      </c>
      <c r="C15" s="29" t="b">
        <v>0</v>
      </c>
      <c r="D15" s="29" t="s">
        <v>41</v>
      </c>
      <c r="E15" t="str">
        <f t="shared" si="0"/>
        <v/>
      </c>
    </row>
    <row r="16" spans="1:13" ht="20.100000000000001" customHeight="1" x14ac:dyDescent="0.25">
      <c r="A16" s="46" t="s">
        <v>29</v>
      </c>
      <c r="C16" s="29" t="b">
        <v>0</v>
      </c>
      <c r="D16" s="29" t="s">
        <v>42</v>
      </c>
      <c r="E16" t="str">
        <f t="shared" si="0"/>
        <v/>
      </c>
    </row>
    <row r="17" spans="1:5" ht="20.100000000000001" customHeight="1" x14ac:dyDescent="0.25">
      <c r="A17" s="45" t="s">
        <v>30</v>
      </c>
      <c r="C17" s="29" t="b">
        <v>1</v>
      </c>
      <c r="D17" s="29" t="s">
        <v>43</v>
      </c>
      <c r="E17" t="str">
        <f t="shared" si="0"/>
        <v>, Uncoated CCD</v>
      </c>
    </row>
    <row r="18" spans="1:5" ht="20.100000000000001" customHeight="1" x14ac:dyDescent="0.25">
      <c r="A18" s="46" t="s">
        <v>31</v>
      </c>
      <c r="C18" s="29" t="b">
        <v>1</v>
      </c>
      <c r="D18" s="29" t="s">
        <v>44</v>
      </c>
      <c r="E18" t="str">
        <f t="shared" si="0"/>
        <v>, Single Slit Mount</v>
      </c>
    </row>
    <row r="19" spans="1:5" ht="20.100000000000001" customHeight="1" x14ac:dyDescent="0.25">
      <c r="A19" s="47" t="s">
        <v>32</v>
      </c>
      <c r="C19" s="29" t="b">
        <v>1</v>
      </c>
      <c r="D19" s="29" t="s">
        <v>45</v>
      </c>
      <c r="E19" t="str">
        <f t="shared" si="0"/>
        <v>, Arldite Used</v>
      </c>
    </row>
    <row r="20" spans="1:5" ht="20.100000000000001" customHeight="1" x14ac:dyDescent="0.25">
      <c r="A20" s="47" t="s">
        <v>34</v>
      </c>
    </row>
  </sheetData>
  <sheetProtection sheet="1" formatCells="0" formatColumns="0" formatRows="0" insertColumns="0" insertRows="0" insertHyperlinks="0" deleteColumns="0" deleteRows="0" sort="0" autoFilter="0" pivotTables="0"/>
  <phoneticPr fontId="5" type="noConversion"/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F71B9E1-A6FA-4849-84C7-1C416246B7A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OAL FORM</vt:lpstr>
      <vt:lpstr>RECORD</vt:lpstr>
      <vt:lpstr>Logs</vt:lpstr>
      <vt:lpstr>CAL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2021-12-18T18:53:25Z</dcterms:created>
  <dcterms:modified xsi:type="dcterms:W3CDTF">2022-10-24T09:08:31Z</dcterms:modified>
</cp:coreProperties>
</file>